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OneDrive - ESLSCA\Bureau\"/>
    </mc:Choice>
  </mc:AlternateContent>
  <bookViews>
    <workbookView xWindow="0" yWindow="0" windowWidth="20490" windowHeight="7620" firstSheet="3" activeTab="3"/>
  </bookViews>
  <sheets>
    <sheet name="Dashboard" sheetId="1" r:id="rId1"/>
    <sheet name="Portefeuille" sheetId="2" r:id="rId2"/>
    <sheet name="Cashflows" sheetId="3" r:id="rId3"/>
    <sheet name="Courbe Scenarios" sheetId="4" r:id="rId4"/>
    <sheet name="Stress Tests" sheetId="5" r:id="rId5"/>
    <sheet name="Couverture" sheetId="6" r:id="rId6"/>
    <sheet name="Collateral" sheetId="7" r:id="rId7"/>
    <sheet name="Reconciliation" sheetId="8" r:id="rId8"/>
    <sheet name="Checks" sheetId="9" r:id="rId9"/>
    <sheet name="Sources" sheetId="10" r:id="rId10"/>
    <sheet name="Guide" sheetId="11" r:id="rId11"/>
  </sheets>
  <calcPr calcId="162913"/>
</workbook>
</file>

<file path=xl/calcChain.xml><?xml version="1.0" encoding="utf-8"?>
<calcChain xmlns="http://schemas.openxmlformats.org/spreadsheetml/2006/main">
  <c r="C13" i="9" l="1"/>
  <c r="C12" i="9"/>
  <c r="C10" i="9"/>
  <c r="C9" i="9"/>
  <c r="C8" i="9"/>
  <c r="C5" i="9"/>
  <c r="J12" i="8"/>
  <c r="I12" i="8"/>
  <c r="K12" i="8" s="1"/>
  <c r="L12" i="8" s="1"/>
  <c r="J11" i="8"/>
  <c r="I11" i="8"/>
  <c r="K11" i="8" s="1"/>
  <c r="L11" i="8" s="1"/>
  <c r="J10" i="8"/>
  <c r="I10" i="8"/>
  <c r="K10" i="8" s="1"/>
  <c r="L10" i="8" s="1"/>
  <c r="J9" i="8"/>
  <c r="I9" i="8"/>
  <c r="K9" i="8" s="1"/>
  <c r="L9" i="8" s="1"/>
  <c r="J8" i="8"/>
  <c r="I8" i="8"/>
  <c r="K8" i="8" s="1"/>
  <c r="L8" i="8" s="1"/>
  <c r="J7" i="8"/>
  <c r="I7" i="8"/>
  <c r="K7" i="8" s="1"/>
  <c r="L7" i="8" s="1"/>
  <c r="J6" i="8"/>
  <c r="I6" i="8"/>
  <c r="K6" i="8" s="1"/>
  <c r="L6" i="8" s="1"/>
  <c r="J5" i="8"/>
  <c r="I5" i="8"/>
  <c r="K5" i="8" s="1"/>
  <c r="L5" i="8" s="1"/>
  <c r="P10" i="7"/>
  <c r="O10" i="7"/>
  <c r="N10" i="7"/>
  <c r="M10" i="7"/>
  <c r="K10" i="7"/>
  <c r="L10" i="7" s="1"/>
  <c r="O9" i="7"/>
  <c r="N9" i="7"/>
  <c r="M9" i="7"/>
  <c r="P9" i="7" s="1"/>
  <c r="K9" i="7"/>
  <c r="L9" i="7" s="1"/>
  <c r="O8" i="7"/>
  <c r="N8" i="7"/>
  <c r="M8" i="7"/>
  <c r="P8" i="7" s="1"/>
  <c r="K8" i="7"/>
  <c r="L8" i="7" s="1"/>
  <c r="O7" i="7"/>
  <c r="N7" i="7"/>
  <c r="M7" i="7"/>
  <c r="K7" i="7"/>
  <c r="L7" i="7" s="1"/>
  <c r="O6" i="7"/>
  <c r="N6" i="7"/>
  <c r="M6" i="7"/>
  <c r="K6" i="7"/>
  <c r="L6" i="7" s="1"/>
  <c r="O5" i="7"/>
  <c r="N5" i="7"/>
  <c r="M5" i="7"/>
  <c r="K5" i="7"/>
  <c r="L5" i="7" s="1"/>
  <c r="I44" i="5"/>
  <c r="H44" i="5"/>
  <c r="J44" i="5" s="1"/>
  <c r="J43" i="5"/>
  <c r="I43" i="5"/>
  <c r="H43" i="5"/>
  <c r="J42" i="5"/>
  <c r="I42" i="5"/>
  <c r="H42" i="5"/>
  <c r="I41" i="5"/>
  <c r="H41" i="5"/>
  <c r="J41" i="5" s="1"/>
  <c r="J40" i="5"/>
  <c r="I40" i="5"/>
  <c r="H40" i="5"/>
  <c r="J39" i="5"/>
  <c r="I39" i="5"/>
  <c r="H39" i="5"/>
  <c r="I38" i="5"/>
  <c r="H38" i="5"/>
  <c r="J38" i="5" s="1"/>
  <c r="I37" i="5"/>
  <c r="H37" i="5"/>
  <c r="J37" i="5" s="1"/>
  <c r="J36" i="5"/>
  <c r="I36" i="5"/>
  <c r="H36" i="5"/>
  <c r="J35" i="5"/>
  <c r="I35" i="5"/>
  <c r="H35" i="5"/>
  <c r="I34" i="5"/>
  <c r="H34" i="5"/>
  <c r="J34" i="5" s="1"/>
  <c r="I33" i="5"/>
  <c r="H33" i="5"/>
  <c r="J33" i="5" s="1"/>
  <c r="I32" i="5"/>
  <c r="H32" i="5"/>
  <c r="J32" i="5" s="1"/>
  <c r="J31" i="5"/>
  <c r="I31" i="5"/>
  <c r="H31" i="5"/>
  <c r="J30" i="5"/>
  <c r="I30" i="5"/>
  <c r="H30" i="5"/>
  <c r="I29" i="5"/>
  <c r="H29" i="5"/>
  <c r="J29" i="5" s="1"/>
  <c r="I28" i="5"/>
  <c r="H28" i="5"/>
  <c r="J28" i="5" s="1"/>
  <c r="J27" i="5"/>
  <c r="I27" i="5"/>
  <c r="H27" i="5"/>
  <c r="J26" i="5"/>
  <c r="I26" i="5"/>
  <c r="H26" i="5"/>
  <c r="I25" i="5"/>
  <c r="H25" i="5"/>
  <c r="J25" i="5" s="1"/>
  <c r="J24" i="5"/>
  <c r="I24" i="5"/>
  <c r="H24" i="5"/>
  <c r="J23" i="5"/>
  <c r="I23" i="5"/>
  <c r="H23" i="5"/>
  <c r="I22" i="5"/>
  <c r="H22" i="5"/>
  <c r="J22" i="5" s="1"/>
  <c r="I21" i="5"/>
  <c r="H21" i="5"/>
  <c r="J21" i="5" s="1"/>
  <c r="J20" i="5"/>
  <c r="I20" i="5"/>
  <c r="H20" i="5"/>
  <c r="J19" i="5"/>
  <c r="I19" i="5"/>
  <c r="H19" i="5"/>
  <c r="I18" i="5"/>
  <c r="H18" i="5"/>
  <c r="J18" i="5" s="1"/>
  <c r="I17" i="5"/>
  <c r="H17" i="5"/>
  <c r="J17" i="5" s="1"/>
  <c r="I16" i="5"/>
  <c r="H16" i="5"/>
  <c r="J16" i="5" s="1"/>
  <c r="J15" i="5"/>
  <c r="I15" i="5"/>
  <c r="H15" i="5"/>
  <c r="J14" i="5"/>
  <c r="I14" i="5"/>
  <c r="H14" i="5"/>
  <c r="I13" i="5"/>
  <c r="H13" i="5"/>
  <c r="J13" i="5" s="1"/>
  <c r="I12" i="5"/>
  <c r="H12" i="5"/>
  <c r="J12" i="5" s="1"/>
  <c r="J11" i="5"/>
  <c r="I11" i="5"/>
  <c r="H11" i="5"/>
  <c r="J10" i="5"/>
  <c r="I10" i="5"/>
  <c r="H10" i="5"/>
  <c r="I9" i="5"/>
  <c r="H9" i="5"/>
  <c r="J9" i="5" s="1"/>
  <c r="J8" i="5"/>
  <c r="I8" i="5"/>
  <c r="H8" i="5"/>
  <c r="J7" i="5"/>
  <c r="I7" i="5"/>
  <c r="H7" i="5"/>
  <c r="I6" i="5"/>
  <c r="H6" i="5"/>
  <c r="J6" i="5" s="1"/>
  <c r="I5" i="5"/>
  <c r="H5" i="5"/>
  <c r="J5" i="5" s="1"/>
  <c r="K43" i="3"/>
  <c r="L42" i="3"/>
  <c r="G42" i="3"/>
  <c r="N41" i="3"/>
  <c r="N42" i="3" s="1"/>
  <c r="L41" i="3"/>
  <c r="L43" i="3" s="1"/>
  <c r="K41" i="3"/>
  <c r="K42" i="3" s="1"/>
  <c r="H41" i="3"/>
  <c r="H42" i="3" s="1"/>
  <c r="G41" i="3"/>
  <c r="G43" i="3" s="1"/>
  <c r="N40" i="3"/>
  <c r="M40" i="3"/>
  <c r="M41" i="3" s="1"/>
  <c r="L40" i="3"/>
  <c r="K40" i="3"/>
  <c r="J40" i="3"/>
  <c r="J41" i="3" s="1"/>
  <c r="J43" i="3" s="1"/>
  <c r="I40" i="3"/>
  <c r="I41" i="3" s="1"/>
  <c r="H40" i="3"/>
  <c r="G40" i="3"/>
  <c r="F40" i="3"/>
  <c r="F41" i="3" s="1"/>
  <c r="E40" i="3"/>
  <c r="E41" i="3" s="1"/>
  <c r="K38" i="3"/>
  <c r="J38" i="3"/>
  <c r="G38" i="3"/>
  <c r="K37" i="3"/>
  <c r="I37" i="3"/>
  <c r="M36" i="3"/>
  <c r="M37" i="3" s="1"/>
  <c r="K36" i="3"/>
  <c r="J36" i="3"/>
  <c r="J37" i="3" s="1"/>
  <c r="G36" i="3"/>
  <c r="G37" i="3" s="1"/>
  <c r="E36" i="3"/>
  <c r="E37" i="3" s="1"/>
  <c r="N35" i="3"/>
  <c r="N36" i="3" s="1"/>
  <c r="N38" i="3" s="1"/>
  <c r="M35" i="3"/>
  <c r="L35" i="3"/>
  <c r="L36" i="3" s="1"/>
  <c r="K35" i="3"/>
  <c r="J35" i="3"/>
  <c r="I35" i="3"/>
  <c r="I36" i="3" s="1"/>
  <c r="I38" i="3" s="1"/>
  <c r="H35" i="3"/>
  <c r="H36" i="3" s="1"/>
  <c r="G35" i="3"/>
  <c r="F35" i="3"/>
  <c r="F36" i="3" s="1"/>
  <c r="F38" i="3" s="1"/>
  <c r="E35" i="3"/>
  <c r="O35" i="3" s="1"/>
  <c r="N32" i="3"/>
  <c r="H32" i="3"/>
  <c r="F32" i="3"/>
  <c r="N31" i="3"/>
  <c r="N33" i="3" s="1"/>
  <c r="L31" i="3"/>
  <c r="L32" i="3" s="1"/>
  <c r="J31" i="3"/>
  <c r="J32" i="3" s="1"/>
  <c r="H31" i="3"/>
  <c r="H33" i="3" s="1"/>
  <c r="F31" i="3"/>
  <c r="F33" i="3" s="1"/>
  <c r="N30" i="3"/>
  <c r="M30" i="3"/>
  <c r="M31" i="3" s="1"/>
  <c r="L30" i="3"/>
  <c r="K30" i="3"/>
  <c r="K31" i="3" s="1"/>
  <c r="J30" i="3"/>
  <c r="I30" i="3"/>
  <c r="I31" i="3" s="1"/>
  <c r="H30" i="3"/>
  <c r="G30" i="3"/>
  <c r="G31" i="3" s="1"/>
  <c r="F30" i="3"/>
  <c r="E30" i="3"/>
  <c r="E31" i="3" s="1"/>
  <c r="I27" i="3"/>
  <c r="G27" i="3"/>
  <c r="M26" i="3"/>
  <c r="M27" i="3" s="1"/>
  <c r="K26" i="3"/>
  <c r="K27" i="3" s="1"/>
  <c r="I26" i="3"/>
  <c r="I28" i="3" s="1"/>
  <c r="G26" i="3"/>
  <c r="G28" i="3" s="1"/>
  <c r="E26" i="3"/>
  <c r="E27" i="3" s="1"/>
  <c r="N25" i="3"/>
  <c r="N26" i="3" s="1"/>
  <c r="M25" i="3"/>
  <c r="L25" i="3"/>
  <c r="L26" i="3" s="1"/>
  <c r="K25" i="3"/>
  <c r="J25" i="3"/>
  <c r="J26" i="3" s="1"/>
  <c r="I25" i="3"/>
  <c r="H25" i="3"/>
  <c r="H26" i="3" s="1"/>
  <c r="G25" i="3"/>
  <c r="F25" i="3"/>
  <c r="E25" i="3"/>
  <c r="L23" i="3"/>
  <c r="L22" i="3"/>
  <c r="G22" i="3"/>
  <c r="L21" i="3"/>
  <c r="K21" i="3"/>
  <c r="K23" i="3" s="1"/>
  <c r="H21" i="3"/>
  <c r="H22" i="3" s="1"/>
  <c r="G21" i="3"/>
  <c r="G23" i="3" s="1"/>
  <c r="F21" i="3"/>
  <c r="F23" i="3" s="1"/>
  <c r="N20" i="3"/>
  <c r="N21" i="3" s="1"/>
  <c r="M20" i="3"/>
  <c r="M21" i="3" s="1"/>
  <c r="L20" i="3"/>
  <c r="K20" i="3"/>
  <c r="J20" i="3"/>
  <c r="J21" i="3" s="1"/>
  <c r="I20" i="3"/>
  <c r="I21" i="3" s="1"/>
  <c r="H20" i="3"/>
  <c r="G20" i="3"/>
  <c r="F20" i="3"/>
  <c r="E20" i="3"/>
  <c r="E21" i="3" s="1"/>
  <c r="K18" i="3"/>
  <c r="J18" i="3"/>
  <c r="K17" i="3"/>
  <c r="K16" i="3"/>
  <c r="J16" i="3"/>
  <c r="J17" i="3" s="1"/>
  <c r="G16" i="3"/>
  <c r="G18" i="3" s="1"/>
  <c r="N15" i="3"/>
  <c r="N16" i="3" s="1"/>
  <c r="M15" i="3"/>
  <c r="M16" i="3" s="1"/>
  <c r="L15" i="3"/>
  <c r="L16" i="3" s="1"/>
  <c r="K15" i="3"/>
  <c r="J15" i="3"/>
  <c r="I15" i="3"/>
  <c r="I16" i="3" s="1"/>
  <c r="H15" i="3"/>
  <c r="H16" i="3" s="1"/>
  <c r="G15" i="3"/>
  <c r="F15" i="3"/>
  <c r="F16" i="3" s="1"/>
  <c r="E15" i="3"/>
  <c r="O15" i="3" s="1"/>
  <c r="L13" i="3"/>
  <c r="F13" i="3"/>
  <c r="J12" i="3"/>
  <c r="N11" i="3"/>
  <c r="N13" i="3" s="1"/>
  <c r="L11" i="3"/>
  <c r="L12" i="3" s="1"/>
  <c r="J11" i="3"/>
  <c r="J13" i="3" s="1"/>
  <c r="I11" i="3"/>
  <c r="I13" i="3" s="1"/>
  <c r="F11" i="3"/>
  <c r="F12" i="3" s="1"/>
  <c r="N10" i="3"/>
  <c r="M10" i="3"/>
  <c r="M11" i="3" s="1"/>
  <c r="L10" i="3"/>
  <c r="K10" i="3"/>
  <c r="K11" i="3" s="1"/>
  <c r="J10" i="3"/>
  <c r="I10" i="3"/>
  <c r="H10" i="3"/>
  <c r="H11" i="3" s="1"/>
  <c r="G10" i="3"/>
  <c r="G11" i="3" s="1"/>
  <c r="F10" i="3"/>
  <c r="E10" i="3"/>
  <c r="E11" i="3" s="1"/>
  <c r="I8" i="3"/>
  <c r="E8" i="3"/>
  <c r="M7" i="3"/>
  <c r="H7" i="3"/>
  <c r="E7" i="3"/>
  <c r="M6" i="3"/>
  <c r="M8" i="3" s="1"/>
  <c r="L6" i="3"/>
  <c r="L8" i="3" s="1"/>
  <c r="I6" i="3"/>
  <c r="I7" i="3" s="1"/>
  <c r="H6" i="3"/>
  <c r="H8" i="3" s="1"/>
  <c r="G6" i="3"/>
  <c r="G8" i="3" s="1"/>
  <c r="E6" i="3"/>
  <c r="N5" i="3"/>
  <c r="N6" i="3" s="1"/>
  <c r="M5" i="3"/>
  <c r="L5" i="3"/>
  <c r="K5" i="3"/>
  <c r="K6" i="3" s="1"/>
  <c r="J5" i="3"/>
  <c r="J6" i="3" s="1"/>
  <c r="I5" i="3"/>
  <c r="H5" i="3"/>
  <c r="G5" i="3"/>
  <c r="O5" i="3" s="1"/>
  <c r="F5" i="3"/>
  <c r="F6" i="3" s="1"/>
  <c r="E5" i="3"/>
  <c r="R12" i="2"/>
  <c r="R11" i="2"/>
  <c r="R10" i="2"/>
  <c r="R9" i="2"/>
  <c r="R8" i="2"/>
  <c r="R7" i="2"/>
  <c r="R6" i="2"/>
  <c r="R5" i="2"/>
  <c r="B25" i="1"/>
  <c r="B23" i="1"/>
  <c r="O11" i="3" l="1"/>
  <c r="E13" i="3"/>
  <c r="E12" i="3"/>
  <c r="F42" i="3"/>
  <c r="F43" i="3"/>
  <c r="K8" i="3"/>
  <c r="K7" i="3"/>
  <c r="M13" i="3"/>
  <c r="M12" i="3"/>
  <c r="I18" i="3"/>
  <c r="I17" i="3"/>
  <c r="M18" i="3"/>
  <c r="M17" i="3"/>
  <c r="H13" i="3"/>
  <c r="H12" i="3"/>
  <c r="F18" i="3"/>
  <c r="F17" i="3"/>
  <c r="N18" i="3"/>
  <c r="N17" i="3"/>
  <c r="J23" i="3"/>
  <c r="J22" i="3"/>
  <c r="N22" i="3"/>
  <c r="N23" i="3"/>
  <c r="G13" i="3"/>
  <c r="G12" i="3"/>
  <c r="K13" i="3"/>
  <c r="K12" i="3"/>
  <c r="O10" i="3"/>
  <c r="O25" i="3"/>
  <c r="F26" i="3"/>
  <c r="J28" i="3"/>
  <c r="J27" i="3"/>
  <c r="N28" i="3"/>
  <c r="N27" i="3"/>
  <c r="K28" i="3"/>
  <c r="J33" i="3"/>
  <c r="F8" i="3"/>
  <c r="F7" i="3"/>
  <c r="O7" i="3" s="1"/>
  <c r="P7" i="3" s="1"/>
  <c r="L5" i="2" s="1"/>
  <c r="J8" i="3"/>
  <c r="J7" i="3"/>
  <c r="N8" i="3"/>
  <c r="N7" i="3"/>
  <c r="G7" i="3"/>
  <c r="L7" i="3"/>
  <c r="I12" i="3"/>
  <c r="N12" i="3"/>
  <c r="G17" i="3"/>
  <c r="E23" i="3"/>
  <c r="E22" i="3"/>
  <c r="I23" i="3"/>
  <c r="I22" i="3"/>
  <c r="M23" i="3"/>
  <c r="M22" i="3"/>
  <c r="F22" i="3"/>
  <c r="K22" i="3"/>
  <c r="E28" i="3"/>
  <c r="M28" i="3"/>
  <c r="G33" i="3"/>
  <c r="G32" i="3"/>
  <c r="K33" i="3"/>
  <c r="K32" i="3"/>
  <c r="O30" i="3"/>
  <c r="L33" i="3"/>
  <c r="O41" i="3"/>
  <c r="N43" i="3"/>
  <c r="B16" i="7"/>
  <c r="B15" i="7"/>
  <c r="O6" i="3"/>
  <c r="E16" i="3"/>
  <c r="H23" i="3"/>
  <c r="H28" i="3"/>
  <c r="H27" i="3"/>
  <c r="L28" i="3"/>
  <c r="L27" i="3"/>
  <c r="O36" i="3"/>
  <c r="N37" i="3"/>
  <c r="P6" i="7"/>
  <c r="H18" i="3"/>
  <c r="H17" i="3"/>
  <c r="L18" i="3"/>
  <c r="L17" i="3"/>
  <c r="O20" i="3"/>
  <c r="O21" i="3"/>
  <c r="E33" i="3"/>
  <c r="E32" i="3"/>
  <c r="O32" i="3" s="1"/>
  <c r="P32" i="3" s="1"/>
  <c r="L10" i="2" s="1"/>
  <c r="M10" i="2" s="1"/>
  <c r="O31" i="3"/>
  <c r="I33" i="3"/>
  <c r="I32" i="3"/>
  <c r="M33" i="3"/>
  <c r="M32" i="3"/>
  <c r="F37" i="3"/>
  <c r="O37" i="3" s="1"/>
  <c r="P37" i="3" s="1"/>
  <c r="L11" i="2" s="1"/>
  <c r="M11" i="2" s="1"/>
  <c r="E38" i="3"/>
  <c r="M38" i="3"/>
  <c r="J42" i="3"/>
  <c r="H43" i="3"/>
  <c r="H38" i="3"/>
  <c r="H37" i="3"/>
  <c r="L38" i="3"/>
  <c r="L37" i="3"/>
  <c r="O40" i="3"/>
  <c r="P7" i="7"/>
  <c r="B10" i="9"/>
  <c r="E10" i="9" s="1"/>
  <c r="E43" i="3"/>
  <c r="E42" i="3"/>
  <c r="I43" i="3"/>
  <c r="I42" i="3"/>
  <c r="M43" i="3"/>
  <c r="M42" i="3"/>
  <c r="P5" i="7"/>
  <c r="B17" i="7" s="1"/>
  <c r="F43" i="5" l="1"/>
  <c r="F35" i="5"/>
  <c r="F27" i="5"/>
  <c r="F19" i="5"/>
  <c r="F11" i="5"/>
  <c r="M5" i="2"/>
  <c r="B9" i="9"/>
  <c r="E9" i="9" s="1"/>
  <c r="B24" i="1"/>
  <c r="P31" i="3"/>
  <c r="J10" i="2"/>
  <c r="K10" i="2" s="1"/>
  <c r="P36" i="3"/>
  <c r="J11" i="2"/>
  <c r="K11" i="2" s="1"/>
  <c r="P41" i="3"/>
  <c r="J12" i="2"/>
  <c r="K12" i="2" s="1"/>
  <c r="O22" i="3"/>
  <c r="P22" i="3" s="1"/>
  <c r="L8" i="2" s="1"/>
  <c r="M8" i="2" s="1"/>
  <c r="O8" i="3"/>
  <c r="P8" i="3" s="1"/>
  <c r="N5" i="2" s="1"/>
  <c r="O23" i="3"/>
  <c r="P23" i="3" s="1"/>
  <c r="N8" i="2" s="1"/>
  <c r="O12" i="3"/>
  <c r="P12" i="3" s="1"/>
  <c r="L6" i="2" s="1"/>
  <c r="M6" i="2" s="1"/>
  <c r="O13" i="3"/>
  <c r="P13" i="3" s="1"/>
  <c r="N6" i="2" s="1"/>
  <c r="F42" i="5"/>
  <c r="F26" i="5"/>
  <c r="F10" i="5"/>
  <c r="F34" i="5"/>
  <c r="F18" i="5"/>
  <c r="O42" i="3"/>
  <c r="P42" i="3" s="1"/>
  <c r="L12" i="2" s="1"/>
  <c r="M12" i="2" s="1"/>
  <c r="O38" i="3"/>
  <c r="P38" i="3" s="1"/>
  <c r="N11" i="2" s="1"/>
  <c r="O33" i="3"/>
  <c r="P33" i="3" s="1"/>
  <c r="N10" i="2" s="1"/>
  <c r="E17" i="3"/>
  <c r="O17" i="3" s="1"/>
  <c r="P17" i="3" s="1"/>
  <c r="L7" i="2" s="1"/>
  <c r="M7" i="2" s="1"/>
  <c r="O16" i="3"/>
  <c r="E18" i="3"/>
  <c r="O18" i="3" s="1"/>
  <c r="O43" i="3"/>
  <c r="P43" i="3" s="1"/>
  <c r="N12" i="2" s="1"/>
  <c r="P21" i="3"/>
  <c r="J8" i="2"/>
  <c r="K8" i="2" s="1"/>
  <c r="P6" i="3"/>
  <c r="J5" i="2"/>
  <c r="F28" i="3"/>
  <c r="O28" i="3" s="1"/>
  <c r="P28" i="3" s="1"/>
  <c r="N9" i="2" s="1"/>
  <c r="F27" i="3"/>
  <c r="O27" i="3" s="1"/>
  <c r="P27" i="3" s="1"/>
  <c r="L9" i="2" s="1"/>
  <c r="M9" i="2" s="1"/>
  <c r="O26" i="3"/>
  <c r="P11" i="3"/>
  <c r="J6" i="2"/>
  <c r="K6" i="2" s="1"/>
  <c r="G41" i="5" l="1"/>
  <c r="G25" i="5"/>
  <c r="G9" i="5"/>
  <c r="G33" i="5"/>
  <c r="G17" i="5"/>
  <c r="F39" i="5"/>
  <c r="F31" i="5"/>
  <c r="F23" i="5"/>
  <c r="F15" i="5"/>
  <c r="F7" i="5"/>
  <c r="E44" i="5"/>
  <c r="E36" i="5"/>
  <c r="E28" i="5"/>
  <c r="E20" i="5"/>
  <c r="E12" i="5"/>
  <c r="E42" i="5"/>
  <c r="E34" i="5"/>
  <c r="E26" i="5"/>
  <c r="E18" i="5"/>
  <c r="E10" i="5"/>
  <c r="B21" i="2"/>
  <c r="K5" i="2"/>
  <c r="G44" i="5"/>
  <c r="G36" i="5"/>
  <c r="G28" i="5"/>
  <c r="G20" i="5"/>
  <c r="G12" i="5"/>
  <c r="G42" i="5"/>
  <c r="G34" i="5"/>
  <c r="G26" i="5"/>
  <c r="G18" i="5"/>
  <c r="G10" i="5"/>
  <c r="F37" i="5"/>
  <c r="F29" i="5"/>
  <c r="F21" i="5"/>
  <c r="F13" i="5"/>
  <c r="F5" i="5"/>
  <c r="O5" i="2"/>
  <c r="E38" i="5"/>
  <c r="E30" i="5"/>
  <c r="E22" i="5"/>
  <c r="E14" i="5"/>
  <c r="E6" i="5"/>
  <c r="P26" i="3"/>
  <c r="J9" i="2"/>
  <c r="K9" i="2" s="1"/>
  <c r="P18" i="3"/>
  <c r="N7" i="2" s="1"/>
  <c r="G43" i="5"/>
  <c r="G27" i="5"/>
  <c r="G11" i="5"/>
  <c r="G35" i="5"/>
  <c r="G19" i="5"/>
  <c r="O10" i="2"/>
  <c r="G38" i="5"/>
  <c r="G30" i="5"/>
  <c r="G22" i="5"/>
  <c r="G14" i="5"/>
  <c r="G6" i="5"/>
  <c r="G37" i="5"/>
  <c r="G21" i="5"/>
  <c r="G5" i="5"/>
  <c r="G29" i="5"/>
  <c r="G13" i="5"/>
  <c r="E43" i="5"/>
  <c r="E35" i="5"/>
  <c r="E27" i="5"/>
  <c r="E19" i="5"/>
  <c r="E11" i="5"/>
  <c r="O11" i="2"/>
  <c r="G20" i="2" s="1"/>
  <c r="G40" i="5"/>
  <c r="G32" i="5"/>
  <c r="G24" i="5"/>
  <c r="G16" i="5"/>
  <c r="G8" i="5"/>
  <c r="F41" i="5"/>
  <c r="F33" i="5"/>
  <c r="F25" i="5"/>
  <c r="F17" i="5"/>
  <c r="F9" i="5"/>
  <c r="O9" i="2"/>
  <c r="E40" i="5"/>
  <c r="E32" i="5"/>
  <c r="E24" i="5"/>
  <c r="E16" i="5"/>
  <c r="E8" i="5"/>
  <c r="P16" i="3"/>
  <c r="J7" i="2"/>
  <c r="K7" i="2" s="1"/>
  <c r="O7" i="2" s="1"/>
  <c r="G19" i="2" s="1"/>
  <c r="F36" i="5"/>
  <c r="F20" i="5"/>
  <c r="O12" i="2"/>
  <c r="F44" i="5"/>
  <c r="F28" i="5"/>
  <c r="F12" i="5"/>
  <c r="F38" i="5"/>
  <c r="F22" i="5"/>
  <c r="F6" i="5"/>
  <c r="O6" i="2"/>
  <c r="F30" i="5"/>
  <c r="F14" i="5"/>
  <c r="F32" i="5"/>
  <c r="F16" i="5"/>
  <c r="O8" i="2"/>
  <c r="F40" i="5"/>
  <c r="F24" i="5"/>
  <c r="F8" i="5"/>
  <c r="K6" i="5" l="1"/>
  <c r="L6" i="5"/>
  <c r="K12" i="5"/>
  <c r="L12" i="5"/>
  <c r="K44" i="5"/>
  <c r="L44" i="5"/>
  <c r="K35" i="5"/>
  <c r="L35" i="5" s="1"/>
  <c r="E41" i="5"/>
  <c r="E33" i="5"/>
  <c r="E25" i="5"/>
  <c r="E17" i="5"/>
  <c r="E9" i="5"/>
  <c r="K14" i="5"/>
  <c r="L14" i="5"/>
  <c r="O13" i="2"/>
  <c r="G18" i="2"/>
  <c r="K34" i="5"/>
  <c r="L34" i="5"/>
  <c r="K20" i="5"/>
  <c r="L20" i="5"/>
  <c r="E39" i="5"/>
  <c r="E31" i="5"/>
  <c r="E23" i="5"/>
  <c r="E15" i="5"/>
  <c r="E7" i="5"/>
  <c r="B19" i="2"/>
  <c r="K8" i="5"/>
  <c r="L8" i="5" s="1"/>
  <c r="L27" i="5"/>
  <c r="K27" i="5"/>
  <c r="K38" i="5"/>
  <c r="L38" i="5" s="1"/>
  <c r="K26" i="5"/>
  <c r="L26" i="5" s="1"/>
  <c r="K16" i="5"/>
  <c r="L16" i="5" s="1"/>
  <c r="B20" i="2"/>
  <c r="K24" i="5"/>
  <c r="L24" i="5"/>
  <c r="K11" i="5"/>
  <c r="L11" i="5" s="1"/>
  <c r="K43" i="5"/>
  <c r="L43" i="5" s="1"/>
  <c r="K22" i="5"/>
  <c r="L22" i="5"/>
  <c r="E37" i="5"/>
  <c r="E29" i="5"/>
  <c r="E21" i="5"/>
  <c r="E13" i="5"/>
  <c r="E5" i="5"/>
  <c r="B18" i="2"/>
  <c r="K13" i="2"/>
  <c r="K10" i="5"/>
  <c r="L10" i="5"/>
  <c r="K42" i="5"/>
  <c r="L42" i="5"/>
  <c r="K28" i="5"/>
  <c r="L28" i="5"/>
  <c r="K40" i="5"/>
  <c r="L40" i="5"/>
  <c r="G31" i="5"/>
  <c r="G15" i="5"/>
  <c r="G39" i="5"/>
  <c r="G23" i="5"/>
  <c r="G7" i="5"/>
  <c r="K32" i="5"/>
  <c r="L32" i="5" s="1"/>
  <c r="L19" i="5"/>
  <c r="K19" i="5"/>
  <c r="K30" i="5"/>
  <c r="L30" i="5" s="1"/>
  <c r="B12" i="9"/>
  <c r="E12" i="9" s="1"/>
  <c r="K18" i="5"/>
  <c r="L18" i="5"/>
  <c r="K36" i="5"/>
  <c r="L36" i="5"/>
  <c r="B6" i="9" l="1"/>
  <c r="E6" i="9" s="1"/>
  <c r="A5" i="1"/>
  <c r="Q12" i="2"/>
  <c r="Q6" i="2"/>
  <c r="Q8" i="2"/>
  <c r="Q11" i="2"/>
  <c r="Q10" i="2"/>
  <c r="Q7" i="2"/>
  <c r="L31" i="5"/>
  <c r="K31" i="5"/>
  <c r="K17" i="5"/>
  <c r="L17" i="5" s="1"/>
  <c r="Q5" i="2"/>
  <c r="K21" i="5"/>
  <c r="L7" i="5"/>
  <c r="K7" i="5"/>
  <c r="K39" i="5"/>
  <c r="L39" i="5" s="1"/>
  <c r="L25" i="5"/>
  <c r="K25" i="5"/>
  <c r="K29" i="5"/>
  <c r="L15" i="5"/>
  <c r="K15" i="5"/>
  <c r="Q9" i="2"/>
  <c r="K33" i="5"/>
  <c r="L33" i="5" s="1"/>
  <c r="L13" i="5"/>
  <c r="K13" i="5"/>
  <c r="K5" i="5"/>
  <c r="B49" i="5" s="1"/>
  <c r="L37" i="5"/>
  <c r="K37" i="5"/>
  <c r="K23" i="5"/>
  <c r="L23" i="5" s="1"/>
  <c r="B7" i="9"/>
  <c r="E7" i="9" s="1"/>
  <c r="B6" i="6"/>
  <c r="M5" i="1"/>
  <c r="L9" i="5"/>
  <c r="K9" i="5"/>
  <c r="K41" i="5"/>
  <c r="L41" i="5" s="1"/>
  <c r="B8" i="9" l="1"/>
  <c r="E8" i="9" s="1"/>
  <c r="C49" i="5"/>
  <c r="L5" i="5"/>
  <c r="D49" i="5" s="1"/>
  <c r="B52" i="5"/>
  <c r="C52" i="5" s="1"/>
  <c r="B51" i="5"/>
  <c r="C51" i="5" s="1"/>
  <c r="B15" i="6"/>
  <c r="B8" i="6"/>
  <c r="B9" i="6"/>
  <c r="B53" i="5"/>
  <c r="C53" i="5" s="1"/>
  <c r="B50" i="5"/>
  <c r="L29" i="5"/>
  <c r="D52" i="5" s="1"/>
  <c r="L21" i="5"/>
  <c r="D51" i="5" s="1"/>
  <c r="D53" i="5"/>
  <c r="D50" i="5"/>
  <c r="Q13" i="2"/>
  <c r="B5" i="9" s="1"/>
  <c r="E5" i="9" s="1"/>
  <c r="E5" i="1"/>
  <c r="L13" i="2"/>
  <c r="N13" i="2"/>
  <c r="B11" i="1" s="1"/>
  <c r="M13" i="2"/>
  <c r="I5" i="1" s="1"/>
  <c r="B10" i="6" l="1"/>
  <c r="B21" i="1"/>
  <c r="C15" i="6"/>
  <c r="B11" i="6"/>
  <c r="B20" i="1"/>
  <c r="C50" i="5"/>
  <c r="B14" i="1" s="1"/>
  <c r="B13" i="9"/>
  <c r="E13" i="9" s="1"/>
  <c r="B13" i="1"/>
  <c r="C16" i="6"/>
  <c r="B11" i="9" l="1"/>
  <c r="E11" i="9" s="1"/>
  <c r="B22" i="1"/>
  <c r="B16" i="9" l="1"/>
  <c r="B15" i="1" s="1"/>
  <c r="B17" i="9"/>
</calcChain>
</file>

<file path=xl/comments1.xml><?xml version="1.0" encoding="utf-8"?>
<comments xmlns="http://schemas.openxmlformats.org/spreadsheetml/2006/main">
  <authors>
    <author>tc={4935053E-CB5A-9C96-D429-3A35C58E8A53}</author>
    <author>tc={6B1A1CE5-8F2A-A8E7-58AA-287809B2A829}</author>
  </authors>
  <commentList>
    <comment ref="B6" authorId="0" shapeId="0">
      <text>
        <r>
          <rPr>
            <sz val="11"/>
            <rFont val="Carlito"/>
          </rPr>
          <t>[Threaded comment]
Your version of Excel allows you to read this threaded comment; however, any edits to it will get removed if the file is opened in a newer version of Excel. Learn more: https://go.microsoft.com/fwlink/?linkid=870924
Comment:
    Source methodologique : BCE - Euro area yield curves. Les valeurs de ce tableau sont illustratives et non des cours de marche.</t>
        </r>
      </text>
    </comment>
    <comment ref="F7" authorId="1" shapeId="0">
      <text>
        <r>
          <rPr>
            <sz val="11"/>
            <rFont val="Carlito"/>
          </rPr>
          <t>[Threaded comment]
Your version of Excel allows you to read this threaded comment; however, any edits to it will get removed if the file is opened in a newer version of Excel. Learn more: https://go.microsoft.com/fwlink/?linkid=870924
Comment:
    Les scenarios paralleles et non paralleles permettent d'evaluer les sensibilites de taux et de spread. Source methodologique : BIS/BCBS.</t>
        </r>
      </text>
    </comment>
  </commentList>
</comments>
</file>

<file path=xl/comments2.xml><?xml version="1.0" encoding="utf-8"?>
<comments xmlns="http://schemas.openxmlformats.org/spreadsheetml/2006/main">
  <authors>
    <author>tc={E59DCEA9-7125-7444-412E-6FEE7C9BF2E7}</author>
  </authors>
  <commentList>
    <comment ref="L5" authorId="0" shapeId="0">
      <text>
        <r>
          <rPr>
            <sz val="11"/>
            <rFont val="Carlito"/>
          </rPr>
          <t>[Threaded comment]
Your version of Excel allows you to read this threaded comment; however, any edits to it will get removed if the file is opened in a newer version of Excel. Learn more: https://go.microsoft.com/fwlink/?linkid=870924
Comment:
    Logique illustrative inspiree des pratiques de gestion du collateral ISDA : calcul de l'exposition, seuil, MTA, appel de marge et traitement des ecarts.</t>
        </r>
      </text>
    </comment>
  </commentList>
</comments>
</file>

<file path=xl/sharedStrings.xml><?xml version="1.0" encoding="utf-8"?>
<sst xmlns="http://schemas.openxmlformats.org/spreadsheetml/2006/main" count="981" uniqueCount="297">
  <si>
    <t>Dashboard Fixed Income &amp; Middle Office</t>
  </si>
  <si>
    <t>Projet candidat - Gestion Obligataire &amp; Gestion de Fortune | Sofia Kammoune | 11/08/2026</t>
  </si>
  <si>
    <t>VALEUR DE MARCHE</t>
  </si>
  <si>
    <t>RENDEMENT PONDERE</t>
  </si>
  <si>
    <t>DURATION MODIFIEE</t>
  </si>
  <si>
    <t>DV01 EUR / PB</t>
  </si>
  <si>
    <t>Synthese du risque</t>
  </si>
  <si>
    <t>Indicateur</t>
  </si>
  <si>
    <t>Valeur</t>
  </si>
  <si>
    <t>Lecture</t>
  </si>
  <si>
    <t>Convexite ponderee</t>
  </si>
  <si>
    <t>Effet de second ordre</t>
  </si>
  <si>
    <t>Pire scenario</t>
  </si>
  <si>
    <t>Hausse parallele +100 pb</t>
  </si>
  <si>
    <t>Stress le plus negatif</t>
  </si>
  <si>
    <t>PnL du pire scenario</t>
  </si>
  <si>
    <t>Impact taux + spreads</t>
  </si>
  <si>
    <t>Impact relatif</t>
  </si>
  <si>
    <t>% de la valeur de marche</t>
  </si>
  <si>
    <t>Statut du modele</t>
  </si>
  <si>
    <t>Tous les controles doivent etre OK</t>
  </si>
  <si>
    <t>Couverture et operations</t>
  </si>
  <si>
    <t>Statut</t>
  </si>
  <si>
    <t>Contrats futures</t>
  </si>
  <si>
    <t>Indicatif</t>
  </si>
  <si>
    <t>DV01 residuelle</t>
  </si>
  <si>
    <t>Apres couverture</t>
  </si>
  <si>
    <t>Efficacite couverture</t>
  </si>
  <si>
    <t>&gt;= 95%</t>
  </si>
  <si>
    <t>Appels de marge nets</t>
  </si>
  <si>
    <t>Recevoir (+) / poster (-)</t>
  </si>
  <si>
    <t>Exceptions collateral</t>
  </si>
  <si>
    <t>A investiguer</t>
  </si>
  <si>
    <t>Exceptions trades</t>
  </si>
  <si>
    <t>Point d'attention : la hausse parallele de 100 pb combinee a un leger widening produit la perte la plus forte. La couverture DV01 reduit fortement le risque de taux lineaire mais ne neutralise ni la convexite, ni le spread de credit, ni le risque de base.</t>
  </si>
  <si>
    <t>Portefeuille obligataire - positions et sensibilites</t>
  </si>
  <si>
    <t>Donnees illustratives au 11/08/2026 | Coupons annuels | EUR</t>
  </si>
  <si>
    <t>ID</t>
  </si>
  <si>
    <t>Instrument</t>
  </si>
  <si>
    <t>Secteur</t>
  </si>
  <si>
    <t>Rating</t>
  </si>
  <si>
    <t>Echeance</t>
  </si>
  <si>
    <t>Annees</t>
  </si>
  <si>
    <t>Coupon</t>
  </si>
  <si>
    <t>YTM</t>
  </si>
  <si>
    <t>Nominal EUR</t>
  </si>
  <si>
    <t>Prix / 100</t>
  </si>
  <si>
    <t>Valeur de marche</t>
  </si>
  <si>
    <t>Duration Macaulay</t>
  </si>
  <si>
    <t>Duration modifiee</t>
  </si>
  <si>
    <t>Convexite</t>
  </si>
  <si>
    <t>DV01 EUR/pb</t>
  </si>
  <si>
    <t>Spread pb</t>
  </si>
  <si>
    <t>Poids</t>
  </si>
  <si>
    <t>Bucket maturite</t>
  </si>
  <si>
    <t>B01</t>
  </si>
  <si>
    <t>Souverain EUR 2027</t>
  </si>
  <si>
    <t>Souverain</t>
  </si>
  <si>
    <t>AAA</t>
  </si>
  <si>
    <t>B02</t>
  </si>
  <si>
    <t>Souverain EUR 2029</t>
  </si>
  <si>
    <t>B03</t>
  </si>
  <si>
    <t>Souverain EUR 2032</t>
  </si>
  <si>
    <t>AA</t>
  </si>
  <si>
    <t>B04</t>
  </si>
  <si>
    <t>Corporate Utilities 2028</t>
  </si>
  <si>
    <t>Corporate</t>
  </si>
  <si>
    <t>A</t>
  </si>
  <si>
    <t>B05</t>
  </si>
  <si>
    <t>Banque Senior 2030</t>
  </si>
  <si>
    <t>Financier</t>
  </si>
  <si>
    <t>B06</t>
  </si>
  <si>
    <t>Corporate Industrie 2031</t>
  </si>
  <si>
    <t>BBB</t>
  </si>
  <si>
    <t>B07</t>
  </si>
  <si>
    <t>Souverain EUR 2034</t>
  </si>
  <si>
    <t>B08</t>
  </si>
  <si>
    <t>Green Bond Corporate 2036</t>
  </si>
  <si>
    <t>TOTAL / MOYENNES PONDEREES</t>
  </si>
  <si>
    <t>Allocation par rating</t>
  </si>
  <si>
    <t>DV01 par maturite</t>
  </si>
  <si>
    <t>Bucket</t>
  </si>
  <si>
    <t>Court &lt;= 3 ans</t>
  </si>
  <si>
    <t>Moyen 4-7 ans</t>
  </si>
  <si>
    <t>Long &gt; 7 ans</t>
  </si>
  <si>
    <t>Moteur de calcul obligataire</t>
  </si>
  <si>
    <t>Flux annuels actualises | Formules auditables</t>
  </si>
  <si>
    <t>Bond ID</t>
  </si>
  <si>
    <t>Metrique</t>
  </si>
  <si>
    <t>Maturite</t>
  </si>
  <si>
    <t>Total</t>
  </si>
  <si>
    <t>Flux</t>
  </si>
  <si>
    <t>Flux total</t>
  </si>
  <si>
    <t>Valeur actuelle</t>
  </si>
  <si>
    <t>t x VA</t>
  </si>
  <si>
    <t>t(t+1) x VA</t>
  </si>
  <si>
    <t>Courbe de taux et hypotheses de stress</t>
  </si>
  <si>
    <t>Courbe indicative - a remplacer par des donnees de marche datees</t>
  </si>
  <si>
    <t>Courbe spot EUR illustrative</t>
  </si>
  <si>
    <t>Matrice de scenarios (points de base)</t>
  </si>
  <si>
    <t>Taux spot</t>
  </si>
  <si>
    <t>Source</t>
  </si>
  <si>
    <t>Scenario</t>
  </si>
  <si>
    <t>Court &lt;=3</t>
  </si>
  <si>
    <t>Moyen 4-7</t>
  </si>
  <si>
    <t>Long &gt;7</t>
  </si>
  <si>
    <t>Illustratif</t>
  </si>
  <si>
    <t>Base</t>
  </si>
  <si>
    <t>Valorisation sans choc</t>
  </si>
  <si>
    <t>Choc de taux + leger widening</t>
  </si>
  <si>
    <t>Rally taux -75 pb</t>
  </si>
  <si>
    <t>Baisse des taux et resserrement</t>
  </si>
  <si>
    <t>Ecartement credit</t>
  </si>
  <si>
    <t>Stress de spreads par rating</t>
  </si>
  <si>
    <t>Bear steepener</t>
  </si>
  <si>
    <t>Hausse plus forte sur le long terme</t>
  </si>
  <si>
    <t>Stress tests taux et credit</t>
  </si>
  <si>
    <t>Approximation duration-convexite : P&amp;L = VM x [-Dmod x choc + 0,5 x Convexite x choc^2]</t>
  </si>
  <si>
    <t>Duration mod.</t>
  </si>
  <si>
    <t>Choc taux pb</t>
  </si>
  <si>
    <t>Choc spread pb</t>
  </si>
  <si>
    <t>Choc total</t>
  </si>
  <si>
    <t>PnL EUR</t>
  </si>
  <si>
    <t>Valeur stressee</t>
  </si>
  <si>
    <t>Synthese des scenarios</t>
  </si>
  <si>
    <t>Impact %</t>
  </si>
  <si>
    <t>Couverture indicative du risque de taux</t>
  </si>
  <si>
    <t>Neutralisation de la DV01 par un future taux EUR illustratif</t>
  </si>
  <si>
    <t>Parametres et resultat</t>
  </si>
  <si>
    <t>DV01 portefeuille EUR/pb</t>
  </si>
  <si>
    <t>DV01 par contrat EUR/pb</t>
  </si>
  <si>
    <t>Nombre de contrats</t>
  </si>
  <si>
    <t>DV01 residuelle EUR/pb</t>
  </si>
  <si>
    <t>Efficacite de couverture</t>
  </si>
  <si>
    <t>Sens de la position</t>
  </si>
  <si>
    <t>Mesure</t>
  </si>
  <si>
    <t>Avant</t>
  </si>
  <si>
    <t>Apres</t>
  </si>
  <si>
    <t>DV01 absolue</t>
  </si>
  <si>
    <t>Reduction</t>
  </si>
  <si>
    <t>Limite : la DV01 contractuelle d'un future depend du contrat, de son facteur de conversion et du CTD. La valeur de 85 EUR/pb est une hypothese editable destinee a illustrer la logique de couverture.</t>
  </si>
  <si>
    <t>Suivi du collateral et appels de marge</t>
  </si>
  <si>
    <t>MtM positif = creance / collateral positif = recu | Seuils de reconciliation editables</t>
  </si>
  <si>
    <t>Trade ID</t>
  </si>
  <si>
    <t>Notionnel interne</t>
  </si>
  <si>
    <t>Notionnel CP</t>
  </si>
  <si>
    <t>MtM interne</t>
  </si>
  <si>
    <t>MtM CP</t>
  </si>
  <si>
    <t>Collateral interne</t>
  </si>
  <si>
    <t>Collateral CP</t>
  </si>
  <si>
    <t>Seuil</t>
  </si>
  <si>
    <t>MTA</t>
  </si>
  <si>
    <t>Collateral requis</t>
  </si>
  <si>
    <t>Appel de marge</t>
  </si>
  <si>
    <t>Ecart notionnel</t>
  </si>
  <si>
    <t>Ecart MtM</t>
  </si>
  <si>
    <t>Ecart collateral</t>
  </si>
  <si>
    <t>D01</t>
  </si>
  <si>
    <t>IRS EUR 5Y</t>
  </si>
  <si>
    <t>D02</t>
  </si>
  <si>
    <t>IRS EUR 10Y</t>
  </si>
  <si>
    <t>D03</t>
  </si>
  <si>
    <t>CDS iTraxx 5Y</t>
  </si>
  <si>
    <t>D04</t>
  </si>
  <si>
    <t>Swaption EUR</t>
  </si>
  <si>
    <t>D05</t>
  </si>
  <si>
    <t>Equity Swap</t>
  </si>
  <si>
    <t>D06</t>
  </si>
  <si>
    <t>IRS EUR 2Y</t>
  </si>
  <si>
    <t>Synthese operationnelle</t>
  </si>
  <si>
    <t>Appels a recevoir</t>
  </si>
  <si>
    <t>Appels a poster</t>
  </si>
  <si>
    <t>Exceptions</t>
  </si>
  <si>
    <t>Rapprochement des operations obligataires</t>
  </si>
  <si>
    <t>Comparaison systeme interne / depositaire avec seuils d'exception</t>
  </si>
  <si>
    <t>Sens</t>
  </si>
  <si>
    <t>Date trade</t>
  </si>
  <si>
    <t>Nominal interne</t>
  </si>
  <si>
    <t>Nominal depositaire</t>
  </si>
  <si>
    <t>Prix interne</t>
  </si>
  <si>
    <t>Prix depositaire</t>
  </si>
  <si>
    <t>Ecart nominal</t>
  </si>
  <si>
    <t>Ecart prix</t>
  </si>
  <si>
    <t>Action</t>
  </si>
  <si>
    <t>T01</t>
  </si>
  <si>
    <t>Achat</t>
  </si>
  <si>
    <t>T02</t>
  </si>
  <si>
    <t>T03</t>
  </si>
  <si>
    <t>Vente</t>
  </si>
  <si>
    <t>T04</t>
  </si>
  <si>
    <t>T05</t>
  </si>
  <si>
    <t>T06</t>
  </si>
  <si>
    <t>T07</t>
  </si>
  <si>
    <t>T08</t>
  </si>
  <si>
    <t>Controles d'integrite du modele</t>
  </si>
  <si>
    <t>Chaque controle doit afficher OK avant utilisation</t>
  </si>
  <si>
    <t>Controle</t>
  </si>
  <si>
    <t>Regle</t>
  </si>
  <si>
    <t>Tolerance / cible</t>
  </si>
  <si>
    <t>Localisation</t>
  </si>
  <si>
    <t>Commentaire</t>
  </si>
  <si>
    <t>Somme des poids</t>
  </si>
  <si>
    <t>Portefeuille!Q13</t>
  </si>
  <si>
    <t>Allocation complete</t>
  </si>
  <si>
    <t>Valeur de marche positive</t>
  </si>
  <si>
    <t>&gt; 0</t>
  </si>
  <si>
    <t>Portefeuille!K13</t>
  </si>
  <si>
    <t>Pas de portefeuille vide</t>
  </si>
  <si>
    <t>DV01 positive</t>
  </si>
  <si>
    <t>Portefeuille!O13</t>
  </si>
  <si>
    <t>Sensibilite calculee</t>
  </si>
  <si>
    <t>PnL scenario Base</t>
  </si>
  <si>
    <t>Stress Tests!B49</t>
  </si>
  <si>
    <t>Absence de choc</t>
  </si>
  <si>
    <t>Collateral!B17</t>
  </si>
  <si>
    <t>Jeu de donnees de test</t>
  </si>
  <si>
    <t>Reconciliation!K5:K12</t>
  </si>
  <si>
    <t>Couverture!B10</t>
  </si>
  <si>
    <t>DV01 residuelle limitee</t>
  </si>
  <si>
    <t>Prix non positifs</t>
  </si>
  <si>
    <t>Portefeuille!J5:J12</t>
  </si>
  <si>
    <t>Controle de valorisation</t>
  </si>
  <si>
    <t>Stress detail = synthese</t>
  </si>
  <si>
    <t>Stress Tests</t>
  </si>
  <si>
    <t>Rapprochement du pire scenario</t>
  </si>
  <si>
    <t>STATUT GLOBAL</t>
  </si>
  <si>
    <t>Nombre d'erreurs</t>
  </si>
  <si>
    <t>Sources, conventions et limites</t>
  </si>
  <si>
    <t>Tracer les hypotheses et distinguer donnees officielles / donnees illustratives</t>
  </si>
  <si>
    <t>Element</t>
  </si>
  <si>
    <t>Nature</t>
  </si>
  <si>
    <t>Source / URL</t>
  </si>
  <si>
    <t>Utilisation</t>
  </si>
  <si>
    <t>Limite</t>
  </si>
  <si>
    <t>S1</t>
  </si>
  <si>
    <t>Offre de stage</t>
  </si>
  <si>
    <t>Source primaire</t>
  </si>
  <si>
    <t>upload/sansolongchamp.pdf</t>
  </si>
  <si>
    <t>Ciblage des livrables</t>
  </si>
  <si>
    <t>Document fourni par l'utilisatrice</t>
  </si>
  <si>
    <t>S2</t>
  </si>
  <si>
    <t>Courbes de taux zone euro</t>
  </si>
  <si>
    <t>Source officielle</t>
  </si>
  <si>
    <t>https://www.ecb.europa.eu/stats/financial_markets_and_interest_rates/euro_area_yield_curves/html/index.en.html</t>
  </si>
  <si>
    <t>Definition et lecture de la courbe</t>
  </si>
  <si>
    <t>Valeurs du projet illustratives</t>
  </si>
  <si>
    <t>S3</t>
  </si>
  <si>
    <t>Methodologie courbe BCE</t>
  </si>
  <si>
    <t>https://www.ecb.europa.eu/stats/financial_markets_and_interest_rates/euro_area_yield_curves/html/technical_notes.pdf</t>
  </si>
  <si>
    <t>Actualisation des flux / structure par terme</t>
  </si>
  <si>
    <t>Simplification : coupons annuels</t>
  </si>
  <si>
    <t>S4</t>
  </si>
  <si>
    <t>Gestion du collateral OTC</t>
  </si>
  <si>
    <t>Source professionnelle</t>
  </si>
  <si>
    <t>https://www.isda.org/collateral-management-sop/</t>
  </si>
  <si>
    <t>Appels de marge et reconciliation</t>
  </si>
  <si>
    <t>CSA et regles juridiques non modelises</t>
  </si>
  <si>
    <t>S5</t>
  </si>
  <si>
    <t>Stress de taux et sensibilites</t>
  </si>
  <si>
    <t>https://www.bis.org/bcbs/publ/d578.pdf</t>
  </si>
  <si>
    <t>Scenarios paralleles / non paralleles</t>
  </si>
  <si>
    <t>Chocs pedagogiques, pas reglementaires</t>
  </si>
  <si>
    <t>S6</t>
  </si>
  <si>
    <t>Portefeuille et prix</t>
  </si>
  <si>
    <t>Genere pour ce projet</t>
  </si>
  <si>
    <t>Demontrer les calculs et controles</t>
  </si>
  <si>
    <t>Aucun instrument reel / aucune recommandation</t>
  </si>
  <si>
    <t>S7</t>
  </si>
  <si>
    <t>DV01 future</t>
  </si>
  <si>
    <t>Hypothese editable</t>
  </si>
  <si>
    <t>85 EUR/pb par contrat</t>
  </si>
  <si>
    <t>Illustrer la couverture</t>
  </si>
  <si>
    <t>Depend du contrat et du CTD</t>
  </si>
  <si>
    <t>Guide d'utilisation et presentation en entretien</t>
  </si>
  <si>
    <t>Projet realise par Sofia Kammoune - MBA Trading &amp; Finance de Marche</t>
  </si>
  <si>
    <t>1. Mode d'emploi</t>
  </si>
  <si>
    <t>1) Modifier uniquement les cellules bleues ou jaunes : positions, YTM, courbe, scenarios et seuils.</t>
  </si>
  <si>
    <t>2) Verifier le statut global dans Dashboard et dans Checks avant toute interpretation.</t>
  </si>
  <si>
    <t>3) Lire la DV01 comme la variation approximative de valeur pour 1 point de base de taux.</t>
  </si>
  <si>
    <t>4) Comparer les stress tests puis ajuster la couverture indicative dans l'onglet Couverture.</t>
  </si>
  <si>
    <t>5) Examiner les exceptions dans Collateral et Reconciliation comme un flux Middle Office.</t>
  </si>
  <si>
    <t>2. Correspondance avec l'offre Sanso Longchamp</t>
  </si>
  <si>
    <t>Mission de l'offre</t>
  </si>
  <si>
    <t>Preuve dans le projet</t>
  </si>
  <si>
    <t>Suivi de portefeuilles obligataires</t>
  </si>
  <si>
    <t>Valorisation, poids, rendement et sensibilites</t>
  </si>
  <si>
    <t>Collatéral / appels de marge</t>
  </si>
  <si>
    <t>Exposition, seuil, MTA, appel et exception</t>
  </si>
  <si>
    <t>Rapprochement des trades</t>
  </si>
  <si>
    <t>Comparaison interne / depositaire et actions</t>
  </si>
  <si>
    <t>Modelisation et sensibilites</t>
  </si>
  <si>
    <t>Cashflows, duration, convexite, DV01 et stress</t>
  </si>
  <si>
    <t>Outils internes de gestion</t>
  </si>
  <si>
    <t>Dashboard Excel + reproduction Python</t>
  </si>
  <si>
    <t>3. Pitch de 40 secondes</t>
  </si>
  <si>
    <t>J'ai construit un outil de suivi obligataire qui relie valorisation, risques et controle operationnel. Le portefeuille est calcule a partir des flux, puis j'analyse duration, convexite et DV01 sous plusieurs chocs de taux et de spreads. J'ai ajoute une couverture indicative, un module d'appels de marge et un rapprochement interne-depositaire. Le fichier Excel reste entierement auditable et le script Python reproduit les principaux calculs.</t>
  </si>
  <si>
    <t>Cet outil de suivi obligataire relie valorisation, risques et controle operationnel. Le portefeuille est calcule a partir des flux, puis j'analyse duration, convexite et DV01 sous plusieurs chocs de taux et de spreads. On ajoute une couverture indicative, un module d'appels de marge et un rapprochement interne-depositaire. Le fichier Excel reste entierement auditable et le script Python reproduit les principaux calculs.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</si>
</sst>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00%;[Red]\(0.00%\);\-"/>
    <numFmt numFmtId="165" formatCode="\€#,##0;[Red]\(\€#,##0\);\-"/>
    <numFmt numFmtId="166" formatCode="#,##0;[Red]\(#,##0\);\-"/>
    <numFmt numFmtId="167" formatCode="\€#,##0.0;[Red]\(\€#,##0.0\);\-"/>
    <numFmt numFmtId="168" formatCode="0.0%;[Red]\(0.0%\);\-"/>
    <numFmt numFmtId="169" formatCode="0&quot;A&quot;"/>
    <numFmt numFmtId="170" formatCode="0.0000"/>
    <numFmt numFmtId="171" formatCode="0&quot; ans&quot;"/>
    <numFmt numFmtId="172" formatCode="0&quot; pb&quot;;[Red]\(0&quot; pb&quot;\);\-"/>
  </numFmts>
  <fonts count="14">
    <font>
      <sz val="11"/>
      <name val="Carlito"/>
    </font>
    <font>
      <sz val="10"/>
      <color rgb="FF111827"/>
      <name val="Aptos"/>
    </font>
    <font>
      <b/>
      <sz val="18"/>
      <color rgb="FFFFFFFF"/>
      <name val="Aptos Display"/>
    </font>
    <font>
      <i/>
      <sz val="9"/>
      <color rgb="FF17365D"/>
      <name val="Aptos"/>
    </font>
    <font>
      <b/>
      <sz val="9"/>
      <color rgb="FFFFFFFF"/>
      <name val="Aptos"/>
    </font>
    <font>
      <sz val="10"/>
      <color rgb="FF0000FF"/>
      <name val="Aptos"/>
    </font>
    <font>
      <sz val="10"/>
      <color rgb="FF008000"/>
      <name val="Aptos"/>
    </font>
    <font>
      <b/>
      <sz val="10"/>
      <color rgb="FF17365D"/>
      <name val="Aptos"/>
    </font>
    <font>
      <b/>
      <sz val="11"/>
      <color rgb="FFFFFFFF"/>
      <name val="Aptos"/>
    </font>
    <font>
      <i/>
      <sz val="10"/>
      <color rgb="FF17365D"/>
      <name val="Aptos"/>
    </font>
    <font>
      <b/>
      <sz val="10"/>
      <color rgb="FFFFFFFF"/>
      <name val="Aptos"/>
    </font>
    <font>
      <sz val="10"/>
      <color rgb="FF2F809B"/>
      <name val="Aptos"/>
    </font>
    <font>
      <i/>
      <sz val="11"/>
      <color rgb="FF17365D"/>
      <name val="Aptos"/>
    </font>
    <font>
      <b/>
      <sz val="18"/>
      <color rgb="FF17365D"/>
      <name val="Aptos"/>
    </font>
  </fonts>
  <fills count="8">
    <fill>
      <patternFill patternType="none"/>
    </fill>
    <fill>
      <patternFill patternType="gray125"/>
    </fill>
    <fill>
      <patternFill patternType="solid">
        <fgColor rgb="FF17365D"/>
      </patternFill>
    </fill>
    <fill>
      <patternFill patternType="solid">
        <fgColor rgb="FFDCEAF2"/>
      </patternFill>
    </fill>
    <fill>
      <patternFill patternType="solid">
        <fgColor rgb="FFEFF6FA"/>
      </patternFill>
    </fill>
    <fill>
      <patternFill patternType="solid">
        <fgColor rgb="FF2F809B"/>
      </patternFill>
    </fill>
    <fill>
      <patternFill patternType="solid">
        <fgColor rgb="FFFFF4D6"/>
      </patternFill>
    </fill>
    <fill>
      <patternFill patternType="solid">
        <fgColor rgb="FFF8FAFC"/>
      </patternFill>
    </fill>
  </fills>
  <borders count="47">
    <border>
      <left/>
      <right/>
      <top/>
      <bottom/>
      <diagonal/>
    </border>
    <border>
      <left/>
      <right style="thin">
        <color rgb="FF90A4AE"/>
      </right>
      <top/>
      <bottom/>
      <diagonal/>
    </border>
    <border>
      <left style="thin">
        <color rgb="FF90A4AE"/>
      </left>
      <right style="thin">
        <color rgb="FF90A4AE"/>
      </right>
      <top/>
      <bottom/>
      <diagonal/>
    </border>
    <border>
      <left style="thin">
        <color rgb="FF90A4AE"/>
      </left>
      <right/>
      <top/>
      <bottom/>
      <diagonal/>
    </border>
    <border>
      <left/>
      <right/>
      <top/>
      <bottom style="thin">
        <color rgb="FFD8E0E6"/>
      </bottom>
      <diagonal/>
    </border>
    <border>
      <left/>
      <right/>
      <top style="thin">
        <color rgb="FFD8E0E6"/>
      </top>
      <bottom style="thin">
        <color rgb="FFD8E0E6"/>
      </bottom>
      <diagonal/>
    </border>
    <border>
      <left/>
      <right/>
      <top/>
      <bottom style="double">
        <color rgb="FF17365D"/>
      </bottom>
      <diagonal/>
    </border>
    <border>
      <left/>
      <right/>
      <top/>
      <bottom style="thin">
        <color rgb="FFE2E8F0"/>
      </bottom>
      <diagonal/>
    </border>
    <border>
      <left/>
      <right/>
      <top style="thin">
        <color rgb="FFE2E8F0"/>
      </top>
      <bottom style="thin">
        <color rgb="FFE2E8F0"/>
      </bottom>
      <diagonal/>
    </border>
    <border>
      <left/>
      <right/>
      <top style="thin">
        <color rgb="FFE2E8F0"/>
      </top>
      <bottom/>
      <diagonal/>
    </border>
    <border>
      <left/>
      <right style="thin">
        <color rgb="FFD8E0E6"/>
      </right>
      <top/>
      <bottom style="thin">
        <color rgb="FFD8E0E6"/>
      </bottom>
      <diagonal/>
    </border>
    <border>
      <left style="thin">
        <color rgb="FFD8E0E6"/>
      </left>
      <right style="thin">
        <color rgb="FFD8E0E6"/>
      </right>
      <top/>
      <bottom style="thin">
        <color rgb="FFD8E0E6"/>
      </bottom>
      <diagonal/>
    </border>
    <border>
      <left style="thin">
        <color rgb="FFD8E0E6"/>
      </left>
      <right style="thin">
        <color rgb="FF90A4AE"/>
      </right>
      <top/>
      <bottom style="thin">
        <color rgb="FFD8E0E6"/>
      </bottom>
      <diagonal/>
    </border>
    <border>
      <left/>
      <right style="thin">
        <color rgb="FFD8E0E6"/>
      </right>
      <top style="thin">
        <color rgb="FFD8E0E6"/>
      </top>
      <bottom style="thin">
        <color rgb="FFD8E0E6"/>
      </bottom>
      <diagonal/>
    </border>
    <border>
      <left style="thin">
        <color rgb="FFD8E0E6"/>
      </left>
      <right style="thin">
        <color rgb="FFD8E0E6"/>
      </right>
      <top style="thin">
        <color rgb="FFD8E0E6"/>
      </top>
      <bottom style="thin">
        <color rgb="FFD8E0E6"/>
      </bottom>
      <diagonal/>
    </border>
    <border>
      <left style="thin">
        <color rgb="FFD8E0E6"/>
      </left>
      <right style="thin">
        <color rgb="FF90A4AE"/>
      </right>
      <top style="thin">
        <color rgb="FFD8E0E6"/>
      </top>
      <bottom style="thin">
        <color rgb="FFD8E0E6"/>
      </bottom>
      <diagonal/>
    </border>
    <border>
      <left/>
      <right style="thin">
        <color rgb="FFD8E0E6"/>
      </right>
      <top style="thin">
        <color rgb="FFD8E0E6"/>
      </top>
      <bottom/>
      <diagonal/>
    </border>
    <border>
      <left style="thin">
        <color rgb="FFD8E0E6"/>
      </left>
      <right style="thin">
        <color rgb="FFD8E0E6"/>
      </right>
      <top style="thin">
        <color rgb="FFD8E0E6"/>
      </top>
      <bottom/>
      <diagonal/>
    </border>
    <border>
      <left style="thin">
        <color rgb="FFD8E0E6"/>
      </left>
      <right style="thin">
        <color rgb="FF90A4AE"/>
      </right>
      <top style="thin">
        <color rgb="FFD8E0E6"/>
      </top>
      <bottom/>
      <diagonal/>
    </border>
    <border>
      <left/>
      <right style="thin">
        <color rgb="FFE2E8F0"/>
      </right>
      <top/>
      <bottom style="thin">
        <color rgb="FFE2E8F0"/>
      </bottom>
      <diagonal/>
    </border>
    <border>
      <left style="thin">
        <color rgb="FFE2E8F0"/>
      </left>
      <right style="thin">
        <color rgb="FFE2E8F0"/>
      </right>
      <top/>
      <bottom style="thin">
        <color rgb="FFE2E8F0"/>
      </bottom>
      <diagonal/>
    </border>
    <border>
      <left style="thin">
        <color rgb="FFE2E8F0"/>
      </left>
      <right/>
      <top/>
      <bottom style="thin">
        <color rgb="FFE2E8F0"/>
      </bottom>
      <diagonal/>
    </border>
    <border>
      <left/>
      <right style="thin">
        <color rgb="FFE2E8F0"/>
      </right>
      <top style="thin">
        <color rgb="FFE2E8F0"/>
      </top>
      <bottom style="thin">
        <color rgb="FFE2E8F0"/>
      </bottom>
      <diagonal/>
    </border>
    <border>
      <left style="thin">
        <color rgb="FFE2E8F0"/>
      </left>
      <right style="thin">
        <color rgb="FFE2E8F0"/>
      </right>
      <top style="thin">
        <color rgb="FFE2E8F0"/>
      </top>
      <bottom style="thin">
        <color rgb="FFE2E8F0"/>
      </bottom>
      <diagonal/>
    </border>
    <border>
      <left style="thin">
        <color rgb="FFE2E8F0"/>
      </left>
      <right/>
      <top style="thin">
        <color rgb="FFE2E8F0"/>
      </top>
      <bottom style="thin">
        <color rgb="FFE2E8F0"/>
      </bottom>
      <diagonal/>
    </border>
    <border>
      <left/>
      <right style="thin">
        <color rgb="FFE2E8F0"/>
      </right>
      <top style="thin">
        <color rgb="FFE2E8F0"/>
      </top>
      <bottom/>
      <diagonal/>
    </border>
    <border>
      <left style="thin">
        <color rgb="FFE2E8F0"/>
      </left>
      <right style="thin">
        <color rgb="FFE2E8F0"/>
      </right>
      <top style="thin">
        <color rgb="FFE2E8F0"/>
      </top>
      <bottom/>
      <diagonal/>
    </border>
    <border>
      <left style="thin">
        <color rgb="FFE2E8F0"/>
      </left>
      <right/>
      <top style="thin">
        <color rgb="FFE2E8F0"/>
      </top>
      <bottom/>
      <diagonal/>
    </border>
    <border>
      <left style="thin">
        <color rgb="FFD8E0E6"/>
      </left>
      <right/>
      <top/>
      <bottom style="thin">
        <color rgb="FFD8E0E6"/>
      </bottom>
      <diagonal/>
    </border>
    <border>
      <left style="thin">
        <color rgb="FFD8E0E6"/>
      </left>
      <right/>
      <top style="thin">
        <color rgb="FFD8E0E6"/>
      </top>
      <bottom style="thin">
        <color rgb="FFD8E0E6"/>
      </bottom>
      <diagonal/>
    </border>
    <border>
      <left style="thin">
        <color rgb="FFD8E0E6"/>
      </left>
      <right/>
      <top style="thin">
        <color rgb="FFD8E0E6"/>
      </top>
      <bottom/>
      <diagonal/>
    </border>
    <border>
      <left style="thin">
        <color rgb="FFE9EEF2"/>
      </left>
      <right/>
      <top style="thin">
        <color rgb="FFE9EEF2"/>
      </top>
      <bottom/>
      <diagonal/>
    </border>
    <border>
      <left/>
      <right/>
      <top style="thin">
        <color rgb="FFE9EEF2"/>
      </top>
      <bottom/>
      <diagonal/>
    </border>
    <border>
      <left/>
      <right style="thin">
        <color rgb="FFE9EEF2"/>
      </right>
      <top style="thin">
        <color rgb="FFE9EEF2"/>
      </top>
      <bottom/>
      <diagonal/>
    </border>
    <border>
      <left style="thin">
        <color rgb="FFE9EEF2"/>
      </left>
      <right/>
      <top/>
      <bottom/>
      <diagonal/>
    </border>
    <border>
      <left/>
      <right style="thin">
        <color rgb="FFE9EEF2"/>
      </right>
      <top/>
      <bottom/>
      <diagonal/>
    </border>
    <border>
      <left style="thin">
        <color rgb="FFE9EEF2"/>
      </left>
      <right/>
      <top/>
      <bottom style="thin">
        <color rgb="FFE9EEF2"/>
      </bottom>
      <diagonal/>
    </border>
    <border>
      <left/>
      <right/>
      <top/>
      <bottom style="thin">
        <color rgb="FFE9EEF2"/>
      </bottom>
      <diagonal/>
    </border>
    <border>
      <left/>
      <right style="thin">
        <color rgb="FFE9EEF2"/>
      </right>
      <top/>
      <bottom style="thin">
        <color rgb="FFE9EEF2"/>
      </bottom>
      <diagonal/>
    </border>
    <border>
      <left style="thin">
        <color rgb="FFD6A94E"/>
      </left>
      <right/>
      <top style="thin">
        <color rgb="FFD6A94E"/>
      </top>
      <bottom/>
      <diagonal/>
    </border>
    <border>
      <left/>
      <right/>
      <top style="thin">
        <color rgb="FFD6A94E"/>
      </top>
      <bottom/>
      <diagonal/>
    </border>
    <border>
      <left/>
      <right style="thin">
        <color rgb="FFD6A94E"/>
      </right>
      <top style="thin">
        <color rgb="FFD6A94E"/>
      </top>
      <bottom/>
      <diagonal/>
    </border>
    <border>
      <left style="thin">
        <color rgb="FFD6A94E"/>
      </left>
      <right/>
      <top/>
      <bottom/>
      <diagonal/>
    </border>
    <border>
      <left/>
      <right style="thin">
        <color rgb="FFD6A94E"/>
      </right>
      <top/>
      <bottom/>
      <diagonal/>
    </border>
    <border>
      <left style="thin">
        <color rgb="FFD6A94E"/>
      </left>
      <right/>
      <top/>
      <bottom style="thin">
        <color rgb="FFD6A94E"/>
      </bottom>
      <diagonal/>
    </border>
    <border>
      <left/>
      <right/>
      <top/>
      <bottom style="thin">
        <color rgb="FFD6A94E"/>
      </bottom>
      <diagonal/>
    </border>
    <border>
      <left/>
      <right style="thin">
        <color rgb="FFD6A94E"/>
      </right>
      <top/>
      <bottom style="thin">
        <color rgb="FFD6A94E"/>
      </bottom>
      <diagonal/>
    </border>
  </borders>
  <cellStyleXfs count="1">
    <xf numFmtId="0" fontId="0" fillId="0" borderId="0"/>
  </cellStyleXfs>
  <cellXfs count="182">
    <xf numFmtId="0" fontId="0" fillId="0" borderId="0" xfId="0"/>
    <xf numFmtId="0" fontId="1" fillId="0" borderId="0" xfId="0" applyNumberFormat="1" applyFont="1" applyFill="1" applyBorder="1"/>
    <xf numFmtId="0" fontId="4" fillId="2" borderId="1" xfId="0" applyNumberFormat="1" applyFont="1" applyFill="1" applyBorder="1" applyAlignment="1">
      <alignment horizontal="center" vertical="center" wrapText="1"/>
    </xf>
    <xf numFmtId="0" fontId="4" fillId="2" borderId="2" xfId="0" applyNumberFormat="1" applyFont="1" applyFill="1" applyBorder="1" applyAlignment="1">
      <alignment horizontal="center" vertical="center" wrapText="1"/>
    </xf>
    <xf numFmtId="0" fontId="4" fillId="2" borderId="3" xfId="0" applyNumberFormat="1" applyFont="1" applyFill="1" applyBorder="1" applyAlignment="1">
      <alignment horizontal="center" vertical="center" wrapText="1"/>
    </xf>
    <xf numFmtId="165" fontId="1" fillId="0" borderId="0" xfId="0" applyNumberFormat="1" applyFont="1" applyFill="1" applyBorder="1"/>
    <xf numFmtId="167" fontId="1" fillId="0" borderId="0" xfId="0" applyNumberFormat="1" applyFont="1" applyFill="1" applyBorder="1"/>
    <xf numFmtId="168" fontId="1" fillId="0" borderId="0" xfId="0" applyNumberFormat="1" applyFont="1" applyFill="1" applyBorder="1"/>
    <xf numFmtId="0" fontId="5" fillId="4" borderId="4" xfId="0" applyNumberFormat="1" applyFont="1" applyFill="1" applyBorder="1"/>
    <xf numFmtId="14" fontId="5" fillId="4" borderId="4" xfId="0" applyNumberFormat="1" applyFont="1" applyFill="1" applyBorder="1"/>
    <xf numFmtId="164" fontId="5" fillId="4" borderId="4" xfId="0" applyNumberFormat="1" applyFont="1" applyFill="1" applyBorder="1"/>
    <xf numFmtId="165" fontId="5" fillId="4" borderId="4" xfId="0" applyNumberFormat="1" applyFont="1" applyFill="1" applyBorder="1"/>
    <xf numFmtId="2" fontId="6" fillId="0" borderId="4" xfId="0" applyNumberFormat="1" applyFont="1" applyFill="1" applyBorder="1"/>
    <xf numFmtId="165" fontId="1" fillId="0" borderId="4" xfId="0" applyNumberFormat="1" applyFont="1" applyFill="1" applyBorder="1"/>
    <xf numFmtId="2" fontId="1" fillId="0" borderId="4" xfId="0" applyNumberFormat="1" applyFont="1" applyFill="1" applyBorder="1"/>
    <xf numFmtId="167" fontId="1" fillId="0" borderId="4" xfId="0" applyNumberFormat="1" applyFont="1" applyFill="1" applyBorder="1"/>
    <xf numFmtId="166" fontId="5" fillId="4" borderId="4" xfId="0" applyNumberFormat="1" applyFont="1" applyFill="1" applyBorder="1"/>
    <xf numFmtId="168" fontId="1" fillId="0" borderId="4" xfId="0" applyNumberFormat="1" applyFont="1" applyFill="1" applyBorder="1"/>
    <xf numFmtId="0" fontId="1" fillId="0" borderId="4" xfId="0" applyNumberFormat="1" applyFont="1" applyFill="1" applyBorder="1"/>
    <xf numFmtId="0" fontId="5" fillId="4" borderId="5" xfId="0" applyNumberFormat="1" applyFont="1" applyFill="1" applyBorder="1"/>
    <xf numFmtId="14" fontId="5" fillId="4" borderId="5" xfId="0" applyNumberFormat="1" applyFont="1" applyFill="1" applyBorder="1"/>
    <xf numFmtId="164" fontId="5" fillId="4" borderId="5" xfId="0" applyNumberFormat="1" applyFont="1" applyFill="1" applyBorder="1"/>
    <xf numFmtId="165" fontId="5" fillId="4" borderId="5" xfId="0" applyNumberFormat="1" applyFont="1" applyFill="1" applyBorder="1"/>
    <xf numFmtId="2" fontId="6" fillId="0" borderId="5" xfId="0" applyNumberFormat="1" applyFont="1" applyFill="1" applyBorder="1"/>
    <xf numFmtId="165" fontId="1" fillId="0" borderId="5" xfId="0" applyNumberFormat="1" applyFont="1" applyFill="1" applyBorder="1"/>
    <xf numFmtId="2" fontId="1" fillId="0" borderId="5" xfId="0" applyNumberFormat="1" applyFont="1" applyFill="1" applyBorder="1"/>
    <xf numFmtId="167" fontId="1" fillId="0" borderId="5" xfId="0" applyNumberFormat="1" applyFont="1" applyFill="1" applyBorder="1"/>
    <xf numFmtId="166" fontId="5" fillId="4" borderId="5" xfId="0" applyNumberFormat="1" applyFont="1" applyFill="1" applyBorder="1"/>
    <xf numFmtId="168" fontId="1" fillId="0" borderId="5" xfId="0" applyNumberFormat="1" applyFont="1" applyFill="1" applyBorder="1"/>
    <xf numFmtId="0" fontId="1" fillId="0" borderId="5" xfId="0" applyNumberFormat="1" applyFont="1" applyFill="1" applyBorder="1"/>
    <xf numFmtId="0" fontId="7" fillId="3" borderId="6" xfId="0" applyNumberFormat="1" applyFont="1" applyFill="1" applyBorder="1"/>
    <xf numFmtId="165" fontId="7" fillId="3" borderId="6" xfId="0" applyNumberFormat="1" applyFont="1" applyFill="1" applyBorder="1"/>
    <xf numFmtId="167" fontId="7" fillId="3" borderId="6" xfId="0" applyNumberFormat="1" applyFont="1" applyFill="1" applyBorder="1"/>
    <xf numFmtId="168" fontId="7" fillId="3" borderId="6" xfId="0" applyNumberFormat="1" applyFont="1" applyFill="1" applyBorder="1"/>
    <xf numFmtId="2" fontId="7" fillId="3" borderId="6" xfId="0" applyNumberFormat="1" applyFont="1" applyFill="1" applyBorder="1"/>
    <xf numFmtId="169" fontId="4" fillId="2" borderId="2" xfId="0" applyNumberFormat="1" applyFont="1" applyFill="1" applyBorder="1" applyAlignment="1">
      <alignment horizontal="center" vertical="center" wrapText="1"/>
    </xf>
    <xf numFmtId="0" fontId="1" fillId="0" borderId="8" xfId="0" applyNumberFormat="1" applyFont="1" applyFill="1" applyBorder="1"/>
    <xf numFmtId="0" fontId="1" fillId="0" borderId="9" xfId="0" applyNumberFormat="1" applyFont="1" applyFill="1" applyBorder="1"/>
    <xf numFmtId="0" fontId="1" fillId="4" borderId="7" xfId="0" applyNumberFormat="1" applyFont="1" applyFill="1" applyBorder="1"/>
    <xf numFmtId="164" fontId="1" fillId="4" borderId="7" xfId="0" applyNumberFormat="1" applyFont="1" applyFill="1" applyBorder="1"/>
    <xf numFmtId="164" fontId="1" fillId="0" borderId="8" xfId="0" applyNumberFormat="1" applyFont="1" applyFill="1" applyBorder="1"/>
    <xf numFmtId="164" fontId="1" fillId="0" borderId="9" xfId="0" applyNumberFormat="1" applyFont="1" applyFill="1" applyBorder="1"/>
    <xf numFmtId="170" fontId="1" fillId="4" borderId="7" xfId="0" applyNumberFormat="1" applyFont="1" applyFill="1" applyBorder="1"/>
    <xf numFmtId="170" fontId="1" fillId="0" borderId="8" xfId="0" applyNumberFormat="1" applyFont="1" applyFill="1" applyBorder="1"/>
    <xf numFmtId="170" fontId="1" fillId="0" borderId="9" xfId="0" applyNumberFormat="1" applyFont="1" applyFill="1" applyBorder="1"/>
    <xf numFmtId="170" fontId="6" fillId="4" borderId="7" xfId="0" applyNumberFormat="1" applyFont="1" applyFill="1" applyBorder="1"/>
    <xf numFmtId="0" fontId="4" fillId="2" borderId="10" xfId="0" applyNumberFormat="1" applyFont="1" applyFill="1" applyBorder="1" applyAlignment="1">
      <alignment horizontal="center" vertical="center" wrapText="1"/>
    </xf>
    <xf numFmtId="0" fontId="4" fillId="2" borderId="11" xfId="0" applyNumberFormat="1" applyFont="1" applyFill="1" applyBorder="1" applyAlignment="1">
      <alignment horizontal="center" vertical="center" wrapText="1"/>
    </xf>
    <xf numFmtId="0" fontId="4" fillId="2" borderId="12" xfId="0" applyNumberFormat="1" applyFont="1" applyFill="1" applyBorder="1" applyAlignment="1">
      <alignment horizontal="center" vertical="center" wrapText="1"/>
    </xf>
    <xf numFmtId="171" fontId="5" fillId="6" borderId="13" xfId="0" applyNumberFormat="1" applyFont="1" applyFill="1" applyBorder="1"/>
    <xf numFmtId="164" fontId="5" fillId="6" borderId="14" xfId="0" applyNumberFormat="1" applyFont="1" applyFill="1" applyBorder="1"/>
    <xf numFmtId="0" fontId="5" fillId="6" borderId="15" xfId="0" applyNumberFormat="1" applyFont="1" applyFill="1" applyBorder="1"/>
    <xf numFmtId="171" fontId="5" fillId="6" borderId="16" xfId="0" applyNumberFormat="1" applyFont="1" applyFill="1" applyBorder="1"/>
    <xf numFmtId="164" fontId="5" fillId="6" borderId="17" xfId="0" applyNumberFormat="1" applyFont="1" applyFill="1" applyBorder="1"/>
    <xf numFmtId="0" fontId="5" fillId="6" borderId="18" xfId="0" applyNumberFormat="1" applyFont="1" applyFill="1" applyBorder="1"/>
    <xf numFmtId="0" fontId="5" fillId="6" borderId="13" xfId="0" applyNumberFormat="1" applyFont="1" applyFill="1" applyBorder="1"/>
    <xf numFmtId="172" fontId="5" fillId="6" borderId="14" xfId="0" applyNumberFormat="1" applyFont="1" applyFill="1" applyBorder="1"/>
    <xf numFmtId="0" fontId="5" fillId="6" borderId="15" xfId="0" applyNumberFormat="1" applyFont="1" applyFill="1" applyBorder="1" applyAlignment="1">
      <alignment wrapText="1"/>
    </xf>
    <xf numFmtId="0" fontId="5" fillId="6" borderId="16" xfId="0" applyNumberFormat="1" applyFont="1" applyFill="1" applyBorder="1"/>
    <xf numFmtId="172" fontId="5" fillId="6" borderId="17" xfId="0" applyNumberFormat="1" applyFont="1" applyFill="1" applyBorder="1"/>
    <xf numFmtId="0" fontId="5" fillId="6" borderId="18" xfId="0" applyNumberFormat="1" applyFont="1" applyFill="1" applyBorder="1" applyAlignment="1">
      <alignment wrapText="1"/>
    </xf>
    <xf numFmtId="165" fontId="6" fillId="0" borderId="5" xfId="0" applyNumberFormat="1" applyFont="1" applyFill="1" applyBorder="1"/>
    <xf numFmtId="172" fontId="6" fillId="0" borderId="5" xfId="0" applyNumberFormat="1" applyFont="1" applyFill="1" applyBorder="1"/>
    <xf numFmtId="164" fontId="1" fillId="0" borderId="5" xfId="0" applyNumberFormat="1" applyFont="1" applyFill="1" applyBorder="1"/>
    <xf numFmtId="0" fontId="1" fillId="7" borderId="4" xfId="0" applyNumberFormat="1" applyFont="1" applyFill="1" applyBorder="1"/>
    <xf numFmtId="165" fontId="6" fillId="7" borderId="4" xfId="0" applyNumberFormat="1" applyFont="1" applyFill="1" applyBorder="1"/>
    <xf numFmtId="2" fontId="6" fillId="7" borderId="4" xfId="0" applyNumberFormat="1" applyFont="1" applyFill="1" applyBorder="1"/>
    <xf numFmtId="172" fontId="6" fillId="7" borderId="4" xfId="0" applyNumberFormat="1" applyFont="1" applyFill="1" applyBorder="1"/>
    <xf numFmtId="164" fontId="1" fillId="7" borderId="4" xfId="0" applyNumberFormat="1" applyFont="1" applyFill="1" applyBorder="1"/>
    <xf numFmtId="165" fontId="1" fillId="7" borderId="4" xfId="0" applyNumberFormat="1" applyFont="1" applyFill="1" applyBorder="1"/>
    <xf numFmtId="0" fontId="1" fillId="7" borderId="5" xfId="0" applyNumberFormat="1" applyFont="1" applyFill="1" applyBorder="1"/>
    <xf numFmtId="165" fontId="6" fillId="7" borderId="5" xfId="0" applyNumberFormat="1" applyFont="1" applyFill="1" applyBorder="1"/>
    <xf numFmtId="2" fontId="6" fillId="7" borderId="5" xfId="0" applyNumberFormat="1" applyFont="1" applyFill="1" applyBorder="1"/>
    <xf numFmtId="172" fontId="6" fillId="7" borderId="5" xfId="0" applyNumberFormat="1" applyFont="1" applyFill="1" applyBorder="1"/>
    <xf numFmtId="164" fontId="1" fillId="7" borderId="5" xfId="0" applyNumberFormat="1" applyFont="1" applyFill="1" applyBorder="1"/>
    <xf numFmtId="165" fontId="1" fillId="7" borderId="5" xfId="0" applyNumberFormat="1" applyFont="1" applyFill="1" applyBorder="1"/>
    <xf numFmtId="166" fontId="1" fillId="0" borderId="0" xfId="0" applyNumberFormat="1" applyFont="1" applyFill="1" applyBorder="1"/>
    <xf numFmtId="0" fontId="1" fillId="0" borderId="13" xfId="0" applyNumberFormat="1" applyFont="1" applyFill="1" applyBorder="1"/>
    <xf numFmtId="167" fontId="6" fillId="0" borderId="15" xfId="0" applyNumberFormat="1" applyFont="1" applyFill="1" applyBorder="1"/>
    <xf numFmtId="167" fontId="5" fillId="6" borderId="15" xfId="0" applyNumberFormat="1" applyFont="1" applyFill="1" applyBorder="1"/>
    <xf numFmtId="166" fontId="1" fillId="0" borderId="15" xfId="0" applyNumberFormat="1" applyFont="1" applyFill="1" applyBorder="1"/>
    <xf numFmtId="167" fontId="1" fillId="0" borderId="15" xfId="0" applyNumberFormat="1" applyFont="1" applyFill="1" applyBorder="1"/>
    <xf numFmtId="168" fontId="1" fillId="0" borderId="15" xfId="0" applyNumberFormat="1" applyFont="1" applyFill="1" applyBorder="1"/>
    <xf numFmtId="0" fontId="1" fillId="0" borderId="16" xfId="0" applyNumberFormat="1" applyFont="1" applyFill="1" applyBorder="1"/>
    <xf numFmtId="0" fontId="1" fillId="0" borderId="18" xfId="0" applyNumberFormat="1" applyFont="1" applyFill="1" applyBorder="1"/>
    <xf numFmtId="2" fontId="5" fillId="4" borderId="4" xfId="0" applyNumberFormat="1" applyFont="1" applyFill="1" applyBorder="1"/>
    <xf numFmtId="2" fontId="5" fillId="4" borderId="5" xfId="0" applyNumberFormat="1" applyFont="1" applyFill="1" applyBorder="1"/>
    <xf numFmtId="0" fontId="10" fillId="2" borderId="0" xfId="0" applyNumberFormat="1" applyFont="1" applyFill="1" applyBorder="1"/>
    <xf numFmtId="168" fontId="6" fillId="0" borderId="4" xfId="0" applyNumberFormat="1" applyFont="1" applyFill="1" applyBorder="1"/>
    <xf numFmtId="0" fontId="1" fillId="0" borderId="4" xfId="0" applyNumberFormat="1" applyFont="1" applyFill="1" applyBorder="1" applyAlignment="1">
      <alignment wrapText="1"/>
    </xf>
    <xf numFmtId="0" fontId="1" fillId="0" borderId="5" xfId="0" applyNumberFormat="1" applyFont="1" applyFill="1" applyBorder="1" applyAlignment="1">
      <alignment wrapText="1"/>
    </xf>
    <xf numFmtId="0" fontId="6" fillId="0" borderId="5" xfId="0" applyNumberFormat="1" applyFont="1" applyFill="1" applyBorder="1"/>
    <xf numFmtId="168" fontId="6" fillId="0" borderId="5" xfId="0" applyNumberFormat="1" applyFont="1" applyFill="1" applyBorder="1"/>
    <xf numFmtId="0" fontId="11" fillId="0" borderId="4" xfId="0" applyNumberFormat="1" applyFont="1" applyFill="1" applyBorder="1" applyAlignment="1">
      <alignment wrapText="1"/>
    </xf>
    <xf numFmtId="0" fontId="11" fillId="0" borderId="5" xfId="0" applyNumberFormat="1" applyFont="1" applyFill="1" applyBorder="1" applyAlignment="1">
      <alignment wrapText="1"/>
    </xf>
    <xf numFmtId="0" fontId="1" fillId="0" borderId="0" xfId="0" applyNumberFormat="1" applyFont="1" applyFill="1" applyBorder="1" applyAlignment="1">
      <alignment vertical="center"/>
    </xf>
    <xf numFmtId="0" fontId="1" fillId="0" borderId="13" xfId="0" applyNumberFormat="1" applyFont="1" applyFill="1" applyBorder="1" applyAlignment="1">
      <alignment vertical="center"/>
    </xf>
    <xf numFmtId="2" fontId="1" fillId="0" borderId="14" xfId="0" applyNumberFormat="1" applyFont="1" applyFill="1" applyBorder="1" applyAlignment="1">
      <alignment vertical="center"/>
    </xf>
    <xf numFmtId="0" fontId="1" fillId="0" borderId="15" xfId="0" applyNumberFormat="1" applyFont="1" applyFill="1" applyBorder="1" applyAlignment="1">
      <alignment vertical="center" wrapText="1"/>
    </xf>
    <xf numFmtId="0" fontId="1" fillId="0" borderId="14" xfId="0" applyNumberFormat="1" applyFont="1" applyFill="1" applyBorder="1" applyAlignment="1">
      <alignment vertical="center"/>
    </xf>
    <xf numFmtId="165" fontId="1" fillId="0" borderId="14" xfId="0" applyNumberFormat="1" applyFont="1" applyFill="1" applyBorder="1" applyAlignment="1">
      <alignment vertical="center"/>
    </xf>
    <xf numFmtId="168" fontId="1" fillId="0" borderId="14" xfId="0" applyNumberFormat="1" applyFont="1" applyFill="1" applyBorder="1" applyAlignment="1">
      <alignment vertical="center"/>
    </xf>
    <xf numFmtId="0" fontId="1" fillId="0" borderId="16" xfId="0" applyNumberFormat="1" applyFont="1" applyFill="1" applyBorder="1" applyAlignment="1">
      <alignment vertical="center"/>
    </xf>
    <xf numFmtId="0" fontId="1" fillId="0" borderId="17" xfId="0" applyNumberFormat="1" applyFont="1" applyFill="1" applyBorder="1" applyAlignment="1">
      <alignment vertical="center"/>
    </xf>
    <xf numFmtId="0" fontId="1" fillId="0" borderId="18" xfId="0" applyNumberFormat="1" applyFont="1" applyFill="1" applyBorder="1" applyAlignment="1">
      <alignment vertical="center" wrapText="1"/>
    </xf>
    <xf numFmtId="166" fontId="1" fillId="0" borderId="14" xfId="0" applyNumberFormat="1" applyFont="1" applyFill="1" applyBorder="1" applyAlignment="1">
      <alignment vertical="center"/>
    </xf>
    <xf numFmtId="0" fontId="1" fillId="0" borderId="15" xfId="0" applyNumberFormat="1" applyFont="1" applyFill="1" applyBorder="1" applyAlignment="1">
      <alignment vertical="center"/>
    </xf>
    <xf numFmtId="167" fontId="1" fillId="0" borderId="14" xfId="0" applyNumberFormat="1" applyFont="1" applyFill="1" applyBorder="1" applyAlignment="1">
      <alignment vertical="center"/>
    </xf>
    <xf numFmtId="166" fontId="1" fillId="0" borderId="17" xfId="0" applyNumberFormat="1" applyFont="1" applyFill="1" applyBorder="1" applyAlignment="1">
      <alignment vertical="center"/>
    </xf>
    <xf numFmtId="0" fontId="1" fillId="0" borderId="18" xfId="0" applyNumberFormat="1" applyFont="1" applyFill="1" applyBorder="1" applyAlignment="1">
      <alignment vertical="center"/>
    </xf>
    <xf numFmtId="0" fontId="2" fillId="2" borderId="0" xfId="0" applyNumberFormat="1" applyFont="1" applyFill="1" applyBorder="1" applyAlignment="1">
      <alignment horizontal="left" vertical="center"/>
    </xf>
    <xf numFmtId="0" fontId="3" fillId="3" borderId="0" xfId="0" applyNumberFormat="1" applyFont="1" applyFill="1" applyBorder="1" applyAlignment="1">
      <alignment horizontal="left" vertical="center"/>
    </xf>
    <xf numFmtId="0" fontId="4" fillId="5" borderId="0" xfId="0" applyNumberFormat="1" applyFont="1" applyFill="1" applyBorder="1" applyAlignment="1">
      <alignment horizontal="center" vertical="center"/>
    </xf>
    <xf numFmtId="165" fontId="13" fillId="7" borderId="31" xfId="0" applyNumberFormat="1" applyFont="1" applyFill="1" applyBorder="1" applyAlignment="1">
      <alignment horizontal="center" vertical="center"/>
    </xf>
    <xf numFmtId="165" fontId="13" fillId="7" borderId="32" xfId="0" applyNumberFormat="1" applyFont="1" applyFill="1" applyBorder="1" applyAlignment="1">
      <alignment horizontal="center" vertical="center"/>
    </xf>
    <xf numFmtId="165" fontId="13" fillId="7" borderId="33" xfId="0" applyNumberFormat="1" applyFont="1" applyFill="1" applyBorder="1" applyAlignment="1">
      <alignment horizontal="center" vertical="center"/>
    </xf>
    <xf numFmtId="165" fontId="13" fillId="7" borderId="34" xfId="0" applyNumberFormat="1" applyFont="1" applyFill="1" applyBorder="1" applyAlignment="1">
      <alignment horizontal="center" vertical="center"/>
    </xf>
    <xf numFmtId="165" fontId="13" fillId="7" borderId="0" xfId="0" applyNumberFormat="1" applyFont="1" applyFill="1" applyBorder="1" applyAlignment="1">
      <alignment horizontal="center" vertical="center"/>
    </xf>
    <xf numFmtId="165" fontId="13" fillId="7" borderId="35" xfId="0" applyNumberFormat="1" applyFont="1" applyFill="1" applyBorder="1" applyAlignment="1">
      <alignment horizontal="center" vertical="center"/>
    </xf>
    <xf numFmtId="165" fontId="13" fillId="7" borderId="36" xfId="0" applyNumberFormat="1" applyFont="1" applyFill="1" applyBorder="1" applyAlignment="1">
      <alignment horizontal="center" vertical="center"/>
    </xf>
    <xf numFmtId="165" fontId="13" fillId="7" borderId="37" xfId="0" applyNumberFormat="1" applyFont="1" applyFill="1" applyBorder="1" applyAlignment="1">
      <alignment horizontal="center" vertical="center"/>
    </xf>
    <xf numFmtId="165" fontId="13" fillId="7" borderId="38" xfId="0" applyNumberFormat="1" applyFont="1" applyFill="1" applyBorder="1" applyAlignment="1">
      <alignment horizontal="center" vertical="center"/>
    </xf>
    <xf numFmtId="164" fontId="13" fillId="7" borderId="31" xfId="0" applyNumberFormat="1" applyFont="1" applyFill="1" applyBorder="1" applyAlignment="1">
      <alignment horizontal="center" vertical="center"/>
    </xf>
    <xf numFmtId="164" fontId="13" fillId="7" borderId="32" xfId="0" applyNumberFormat="1" applyFont="1" applyFill="1" applyBorder="1" applyAlignment="1">
      <alignment horizontal="center" vertical="center"/>
    </xf>
    <xf numFmtId="164" fontId="13" fillId="7" borderId="33" xfId="0" applyNumberFormat="1" applyFont="1" applyFill="1" applyBorder="1" applyAlignment="1">
      <alignment horizontal="center" vertical="center"/>
    </xf>
    <xf numFmtId="164" fontId="13" fillId="7" borderId="34" xfId="0" applyNumberFormat="1" applyFont="1" applyFill="1" applyBorder="1" applyAlignment="1">
      <alignment horizontal="center" vertical="center"/>
    </xf>
    <xf numFmtId="164" fontId="13" fillId="7" borderId="0" xfId="0" applyNumberFormat="1" applyFont="1" applyFill="1" applyBorder="1" applyAlignment="1">
      <alignment horizontal="center" vertical="center"/>
    </xf>
    <xf numFmtId="164" fontId="13" fillId="7" borderId="35" xfId="0" applyNumberFormat="1" applyFont="1" applyFill="1" applyBorder="1" applyAlignment="1">
      <alignment horizontal="center" vertical="center"/>
    </xf>
    <xf numFmtId="164" fontId="13" fillId="7" borderId="36" xfId="0" applyNumberFormat="1" applyFont="1" applyFill="1" applyBorder="1" applyAlignment="1">
      <alignment horizontal="center" vertical="center"/>
    </xf>
    <xf numFmtId="164" fontId="13" fillId="7" borderId="37" xfId="0" applyNumberFormat="1" applyFont="1" applyFill="1" applyBorder="1" applyAlignment="1">
      <alignment horizontal="center" vertical="center"/>
    </xf>
    <xf numFmtId="164" fontId="13" fillId="7" borderId="38" xfId="0" applyNumberFormat="1" applyFont="1" applyFill="1" applyBorder="1" applyAlignment="1">
      <alignment horizontal="center" vertical="center"/>
    </xf>
    <xf numFmtId="2" fontId="13" fillId="7" borderId="31" xfId="0" applyNumberFormat="1" applyFont="1" applyFill="1" applyBorder="1" applyAlignment="1">
      <alignment horizontal="center" vertical="center"/>
    </xf>
    <xf numFmtId="2" fontId="13" fillId="7" borderId="32" xfId="0" applyNumberFormat="1" applyFont="1" applyFill="1" applyBorder="1" applyAlignment="1">
      <alignment horizontal="center" vertical="center"/>
    </xf>
    <xf numFmtId="2" fontId="13" fillId="7" borderId="33" xfId="0" applyNumberFormat="1" applyFont="1" applyFill="1" applyBorder="1" applyAlignment="1">
      <alignment horizontal="center" vertical="center"/>
    </xf>
    <xf numFmtId="2" fontId="13" fillId="7" borderId="34" xfId="0" applyNumberFormat="1" applyFont="1" applyFill="1" applyBorder="1" applyAlignment="1">
      <alignment horizontal="center" vertical="center"/>
    </xf>
    <xf numFmtId="2" fontId="13" fillId="7" borderId="0" xfId="0" applyNumberFormat="1" applyFont="1" applyFill="1" applyBorder="1" applyAlignment="1">
      <alignment horizontal="center" vertical="center"/>
    </xf>
    <xf numFmtId="2" fontId="13" fillId="7" borderId="35" xfId="0" applyNumberFormat="1" applyFont="1" applyFill="1" applyBorder="1" applyAlignment="1">
      <alignment horizontal="center" vertical="center"/>
    </xf>
    <xf numFmtId="2" fontId="13" fillId="7" borderId="36" xfId="0" applyNumberFormat="1" applyFont="1" applyFill="1" applyBorder="1" applyAlignment="1">
      <alignment horizontal="center" vertical="center"/>
    </xf>
    <xf numFmtId="2" fontId="13" fillId="7" borderId="37" xfId="0" applyNumberFormat="1" applyFont="1" applyFill="1" applyBorder="1" applyAlignment="1">
      <alignment horizontal="center" vertical="center"/>
    </xf>
    <xf numFmtId="2" fontId="13" fillId="7" borderId="38" xfId="0" applyNumberFormat="1" applyFont="1" applyFill="1" applyBorder="1" applyAlignment="1">
      <alignment horizontal="center" vertical="center"/>
    </xf>
    <xf numFmtId="167" fontId="13" fillId="7" borderId="31" xfId="0" applyNumberFormat="1" applyFont="1" applyFill="1" applyBorder="1" applyAlignment="1">
      <alignment horizontal="center" vertical="center"/>
    </xf>
    <xf numFmtId="167" fontId="13" fillId="7" borderId="32" xfId="0" applyNumberFormat="1" applyFont="1" applyFill="1" applyBorder="1" applyAlignment="1">
      <alignment horizontal="center" vertical="center"/>
    </xf>
    <xf numFmtId="167" fontId="13" fillId="7" borderId="33" xfId="0" applyNumberFormat="1" applyFont="1" applyFill="1" applyBorder="1" applyAlignment="1">
      <alignment horizontal="center" vertical="center"/>
    </xf>
    <xf numFmtId="167" fontId="13" fillId="7" borderId="34" xfId="0" applyNumberFormat="1" applyFont="1" applyFill="1" applyBorder="1" applyAlignment="1">
      <alignment horizontal="center" vertical="center"/>
    </xf>
    <xf numFmtId="167" fontId="13" fillId="7" borderId="0" xfId="0" applyNumberFormat="1" applyFont="1" applyFill="1" applyBorder="1" applyAlignment="1">
      <alignment horizontal="center" vertical="center"/>
    </xf>
    <xf numFmtId="167" fontId="13" fillId="7" borderId="35" xfId="0" applyNumberFormat="1" applyFont="1" applyFill="1" applyBorder="1" applyAlignment="1">
      <alignment horizontal="center" vertical="center"/>
    </xf>
    <xf numFmtId="167" fontId="13" fillId="7" borderId="36" xfId="0" applyNumberFormat="1" applyFont="1" applyFill="1" applyBorder="1" applyAlignment="1">
      <alignment horizontal="center" vertical="center"/>
    </xf>
    <xf numFmtId="167" fontId="13" fillId="7" borderId="37" xfId="0" applyNumberFormat="1" applyFont="1" applyFill="1" applyBorder="1" applyAlignment="1">
      <alignment horizontal="center" vertical="center"/>
    </xf>
    <xf numFmtId="167" fontId="13" fillId="7" borderId="38" xfId="0" applyNumberFormat="1" applyFont="1" applyFill="1" applyBorder="1" applyAlignment="1">
      <alignment horizontal="center" vertical="center"/>
    </xf>
    <xf numFmtId="0" fontId="8" fillId="5" borderId="0" xfId="0" applyNumberFormat="1" applyFont="1" applyFill="1" applyBorder="1" applyAlignment="1">
      <alignment horizontal="left" vertical="center"/>
    </xf>
    <xf numFmtId="0" fontId="9" fillId="6" borderId="39" xfId="0" applyNumberFormat="1" applyFont="1" applyFill="1" applyBorder="1" applyAlignment="1">
      <alignment vertical="center" wrapText="1"/>
    </xf>
    <xf numFmtId="0" fontId="9" fillId="6" borderId="40" xfId="0" applyNumberFormat="1" applyFont="1" applyFill="1" applyBorder="1" applyAlignment="1">
      <alignment vertical="center" wrapText="1"/>
    </xf>
    <xf numFmtId="0" fontId="9" fillId="6" borderId="41" xfId="0" applyNumberFormat="1" applyFont="1" applyFill="1" applyBorder="1" applyAlignment="1">
      <alignment vertical="center" wrapText="1"/>
    </xf>
    <xf numFmtId="0" fontId="9" fillId="6" borderId="42" xfId="0" applyNumberFormat="1" applyFont="1" applyFill="1" applyBorder="1" applyAlignment="1">
      <alignment vertical="center" wrapText="1"/>
    </xf>
    <xf numFmtId="0" fontId="9" fillId="6" borderId="0" xfId="0" applyNumberFormat="1" applyFont="1" applyFill="1" applyBorder="1" applyAlignment="1">
      <alignment vertical="center" wrapText="1"/>
    </xf>
    <xf numFmtId="0" fontId="9" fillId="6" borderId="43" xfId="0" applyNumberFormat="1" applyFont="1" applyFill="1" applyBorder="1" applyAlignment="1">
      <alignment vertical="center" wrapText="1"/>
    </xf>
    <xf numFmtId="0" fontId="9" fillId="6" borderId="44" xfId="0" applyNumberFormat="1" applyFont="1" applyFill="1" applyBorder="1" applyAlignment="1">
      <alignment vertical="center" wrapText="1"/>
    </xf>
    <xf numFmtId="0" fontId="9" fillId="6" borderId="45" xfId="0" applyNumberFormat="1" applyFont="1" applyFill="1" applyBorder="1" applyAlignment="1">
      <alignment vertical="center" wrapText="1"/>
    </xf>
    <xf numFmtId="0" fontId="9" fillId="6" borderId="46" xfId="0" applyNumberFormat="1" applyFont="1" applyFill="1" applyBorder="1" applyAlignment="1">
      <alignment vertical="center" wrapText="1"/>
    </xf>
    <xf numFmtId="0" fontId="7" fillId="3" borderId="6" xfId="0" applyNumberFormat="1" applyFont="1" applyFill="1" applyBorder="1"/>
    <xf numFmtId="0" fontId="1" fillId="7" borderId="19" xfId="0" applyNumberFormat="1" applyFont="1" applyFill="1" applyBorder="1" applyAlignment="1">
      <alignment vertical="center" wrapText="1"/>
    </xf>
    <xf numFmtId="0" fontId="1" fillId="7" borderId="20" xfId="0" applyNumberFormat="1" applyFont="1" applyFill="1" applyBorder="1" applyAlignment="1">
      <alignment vertical="center" wrapText="1"/>
    </xf>
    <xf numFmtId="0" fontId="1" fillId="7" borderId="21" xfId="0" applyNumberFormat="1" applyFont="1" applyFill="1" applyBorder="1" applyAlignment="1">
      <alignment vertical="center" wrapText="1"/>
    </xf>
    <xf numFmtId="0" fontId="1" fillId="7" borderId="22" xfId="0" applyNumberFormat="1" applyFont="1" applyFill="1" applyBorder="1" applyAlignment="1">
      <alignment vertical="center" wrapText="1"/>
    </xf>
    <xf numFmtId="0" fontId="1" fillId="7" borderId="23" xfId="0" applyNumberFormat="1" applyFont="1" applyFill="1" applyBorder="1" applyAlignment="1">
      <alignment vertical="center" wrapText="1"/>
    </xf>
    <xf numFmtId="0" fontId="1" fillId="7" borderId="24" xfId="0" applyNumberFormat="1" applyFont="1" applyFill="1" applyBorder="1" applyAlignment="1">
      <alignment vertical="center" wrapText="1"/>
    </xf>
    <xf numFmtId="0" fontId="1" fillId="7" borderId="25" xfId="0" applyNumberFormat="1" applyFont="1" applyFill="1" applyBorder="1" applyAlignment="1">
      <alignment vertical="center" wrapText="1"/>
    </xf>
    <xf numFmtId="0" fontId="1" fillId="7" borderId="26" xfId="0" applyNumberFormat="1" applyFont="1" applyFill="1" applyBorder="1" applyAlignment="1">
      <alignment vertical="center" wrapText="1"/>
    </xf>
    <xf numFmtId="0" fontId="1" fillId="7" borderId="27" xfId="0" applyNumberFormat="1" applyFont="1" applyFill="1" applyBorder="1" applyAlignment="1">
      <alignment vertical="center" wrapText="1"/>
    </xf>
    <xf numFmtId="0" fontId="4" fillId="2" borderId="1" xfId="0" applyNumberFormat="1" applyFont="1" applyFill="1" applyBorder="1" applyAlignment="1">
      <alignment horizontal="center" vertical="center" wrapText="1"/>
    </xf>
    <xf numFmtId="0" fontId="4" fillId="2" borderId="2" xfId="0" applyNumberFormat="1" applyFont="1" applyFill="1" applyBorder="1" applyAlignment="1">
      <alignment horizontal="center" vertical="center" wrapText="1"/>
    </xf>
    <xf numFmtId="0" fontId="4" fillId="2" borderId="3" xfId="0" applyNumberFormat="1" applyFont="1" applyFill="1" applyBorder="1" applyAlignment="1">
      <alignment horizontal="center" vertical="center" wrapText="1"/>
    </xf>
    <xf numFmtId="0" fontId="1" fillId="0" borderId="10" xfId="0" applyNumberFormat="1" applyFont="1" applyFill="1" applyBorder="1" applyAlignment="1">
      <alignment vertical="center" wrapText="1"/>
    </xf>
    <xf numFmtId="0" fontId="1" fillId="0" borderId="11" xfId="0" applyNumberFormat="1" applyFont="1" applyFill="1" applyBorder="1" applyAlignment="1">
      <alignment vertical="center" wrapText="1"/>
    </xf>
    <xf numFmtId="0" fontId="1" fillId="0" borderId="13" xfId="0" applyNumberFormat="1" applyFont="1" applyFill="1" applyBorder="1" applyAlignment="1">
      <alignment vertical="center" wrapText="1"/>
    </xf>
    <xf numFmtId="0" fontId="1" fillId="0" borderId="14" xfId="0" applyNumberFormat="1" applyFont="1" applyFill="1" applyBorder="1" applyAlignment="1">
      <alignment vertical="center" wrapText="1"/>
    </xf>
    <xf numFmtId="0" fontId="1" fillId="0" borderId="16" xfId="0" applyNumberFormat="1" applyFont="1" applyFill="1" applyBorder="1" applyAlignment="1">
      <alignment vertical="center" wrapText="1"/>
    </xf>
    <xf numFmtId="0" fontId="1" fillId="0" borderId="17" xfId="0" applyNumberFormat="1" applyFont="1" applyFill="1" applyBorder="1" applyAlignment="1">
      <alignment vertical="center" wrapText="1"/>
    </xf>
    <xf numFmtId="0" fontId="1" fillId="0" borderId="28" xfId="0" applyNumberFormat="1" applyFont="1" applyFill="1" applyBorder="1" applyAlignment="1">
      <alignment vertical="center" wrapText="1"/>
    </xf>
    <xf numFmtId="0" fontId="1" fillId="0" borderId="29" xfId="0" applyNumberFormat="1" applyFont="1" applyFill="1" applyBorder="1" applyAlignment="1">
      <alignment vertical="center" wrapText="1"/>
    </xf>
    <xf numFmtId="0" fontId="1" fillId="0" borderId="30" xfId="0" applyNumberFormat="1" applyFont="1" applyFill="1" applyBorder="1" applyAlignment="1">
      <alignment vertical="center" wrapText="1"/>
    </xf>
    <xf numFmtId="0" fontId="12" fillId="3" borderId="0" xfId="0" applyNumberFormat="1" applyFont="1" applyFill="1" applyBorder="1" applyAlignment="1">
      <alignment vertical="center" wrapText="1"/>
    </xf>
  </cellXfs>
  <cellStyles count="1">
    <cellStyle name="Normal" xfId="0" builtinId="0"/>
  </cellStyles>
  <dxfs count="10">
    <dxf>
      <font>
        <b/>
        <color rgb="FF2E7D32"/>
      </font>
      <fill>
        <patternFill patternType="solid">
          <bgColor rgb="FFDDF2EA"/>
        </patternFill>
      </fill>
    </dxf>
    <dxf>
      <font>
        <b/>
        <color rgb="FF2E7D32"/>
      </font>
      <fill>
        <patternFill patternType="solid">
          <bgColor rgb="FFDDF2EA"/>
        </patternFill>
      </fill>
    </dxf>
    <dxf>
      <font>
        <b/>
        <color rgb="FFC62828"/>
      </font>
      <fill>
        <patternFill patternType="solid">
          <bgColor rgb="FFFCE8E6"/>
        </patternFill>
      </fill>
    </dxf>
    <dxf>
      <font>
        <b/>
        <color rgb="FF2E7D32"/>
      </font>
      <fill>
        <patternFill patternType="solid">
          <bgColor rgb="FFDDF2EA"/>
        </patternFill>
      </fill>
    </dxf>
    <dxf>
      <font>
        <b/>
        <color rgb="FFC62828"/>
      </font>
      <fill>
        <patternFill patternType="solid">
          <bgColor rgb="FFFCE8E6"/>
        </patternFill>
      </fill>
    </dxf>
    <dxf>
      <font>
        <b/>
        <color rgb="FF2E7D32"/>
      </font>
      <fill>
        <patternFill patternType="solid">
          <bgColor rgb="FFDDF2EA"/>
        </patternFill>
      </fill>
    </dxf>
    <dxf>
      <font>
        <b/>
        <color rgb="FFC62828"/>
      </font>
      <fill>
        <patternFill patternType="solid">
          <bgColor rgb="FFFCE8E6"/>
        </patternFill>
      </fill>
    </dxf>
    <dxf>
      <font>
        <color rgb="FF2E7D32"/>
      </font>
      <fill>
        <patternFill patternType="solid">
          <bgColor rgb="FFDDF2EA"/>
        </patternFill>
      </fill>
    </dxf>
    <dxf>
      <font>
        <color rgb="FFC62828"/>
      </font>
      <fill>
        <patternFill patternType="solid">
          <bgColor rgb="FFFCE8E6"/>
        </patternFill>
      </fill>
    </dxf>
    <dxf>
      <font>
        <b/>
        <color rgb="FF2E7D32"/>
      </font>
      <fill>
        <patternFill patternType="solid">
          <bgColor rgb="FFDDF2E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4521c9feb9024e3e"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a:lstStyle/>
          <a:p>
            <a:r>
              <a:rPr lang="fr-FR"/>
              <a:t>PnL des scenarios (EUR)</a:t>
            </a:r>
          </a:p>
        </c:rich>
      </c:tx>
      <c:layout/>
      <c:overlay val="0"/>
    </c:title>
    <c:autoTitleDeleted val="0"/>
    <c:plotArea>
      <c:layout/>
      <c:barChart>
        <c:barDir val="col"/>
        <c:grouping val="clustered"/>
        <c:varyColors val="0"/>
        <c:ser>
          <c:idx val="0"/>
          <c:order val="0"/>
          <c:tx>
            <c:v>PnL</c:v>
          </c:tx>
          <c:spPr>
            <a:solidFill>
              <a:srgbClr val="2F809B"/>
            </a:solidFill>
          </c:spPr>
          <c:invertIfNegative val="1"/>
          <c:cat>
            <c:strRef>
              <c:f>'Stress Tests'!$A$50:$A$53</c:f>
              <c:strCache>
                <c:ptCount val="4"/>
                <c:pt idx="0">
                  <c:v>Hausse parallele +100 pb</c:v>
                </c:pt>
                <c:pt idx="1">
                  <c:v>Rally taux -75 pb</c:v>
                </c:pt>
                <c:pt idx="2">
                  <c:v>Ecartement credit</c:v>
                </c:pt>
                <c:pt idx="3">
                  <c:v>Bear steepener</c:v>
                </c:pt>
              </c:strCache>
            </c:strRef>
          </c:cat>
          <c:val>
            <c:numRef>
              <c:f>'Stress Tests'!$B$50:$B$53</c:f>
              <c:numCache>
                <c:formatCode>\€#\ ##0;[Red]\(\€#\ ##0\);\-</c:formatCode>
                <c:ptCount val="4"/>
                <c:pt idx="0">
                  <c:v>-462850.85459079786</c:v>
                </c:pt>
                <c:pt idx="1">
                  <c:v>332875.38048145839</c:v>
                </c:pt>
                <c:pt idx="2">
                  <c:v>-331511.06144501315</c:v>
                </c:pt>
                <c:pt idx="3">
                  <c:v>-408245.13693963946</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D578-4569-979D-5A1DEBA5888C}"/>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 ##0;[Red]\(\€#\ ##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a:lstStyle/>
          <a:p>
            <a:r>
              <a:rPr lang="fr-FR"/>
              <a:t>Allocation par rating</a:t>
            </a:r>
          </a:p>
        </c:rich>
      </c:tx>
      <c:layout/>
      <c:overlay val="0"/>
    </c:title>
    <c:autoTitleDeleted val="0"/>
    <c:plotArea>
      <c:layout/>
      <c:doughnutChart>
        <c:varyColors val="1"/>
        <c:ser>
          <c:idx val="0"/>
          <c:order val="0"/>
          <c:tx>
            <c:v>Valeur de marche</c:v>
          </c:tx>
          <c:cat>
            <c:strRef>
              <c:f>Portefeuille!$A$18:$A$21</c:f>
              <c:strCache>
                <c:ptCount val="4"/>
                <c:pt idx="0">
                  <c:v>AAA</c:v>
                </c:pt>
                <c:pt idx="1">
                  <c:v>AA</c:v>
                </c:pt>
                <c:pt idx="2">
                  <c:v>A</c:v>
                </c:pt>
                <c:pt idx="3">
                  <c:v>BBB</c:v>
                </c:pt>
              </c:strCache>
            </c:strRef>
          </c:cat>
          <c:val>
            <c:numRef>
              <c:f>Portefeuille!$B$18:$B$21</c:f>
              <c:numCache>
                <c:formatCode>\€#\ ##0;[Red]\(\€#\ ##0\);\-</c:formatCode>
                <c:ptCount val="4"/>
                <c:pt idx="0">
                  <c:v>3745949.3230658099</c:v>
                </c:pt>
                <c:pt idx="1">
                  <c:v>1520655.4701059249</c:v>
                </c:pt>
                <c:pt idx="2">
                  <c:v>2217478.6817129436</c:v>
                </c:pt>
                <c:pt idx="3">
                  <c:v>2743776.9303684682</c:v>
                </c:pt>
              </c:numCache>
            </c:numRef>
          </c:val>
          <c:extLst>
            <c:ext xmlns:c16="http://schemas.microsoft.com/office/drawing/2014/chart" uri="{C3380CC4-5D6E-409C-BE32-E72D297353CC}">
              <c16:uniqueId val="{00000000-4069-476F-A16F-D1E39DB34A89}"/>
            </c:ext>
          </c:extLst>
        </c:ser>
        <c:dLbls>
          <c:showLegendKey val="0"/>
          <c:showVal val="0"/>
          <c:showCatName val="0"/>
          <c:showSerName val="0"/>
          <c:showPercent val="0"/>
          <c:showBubbleSize val="0"/>
          <c:showLeaderLines val="1"/>
        </c:dLbls>
        <c:firstSliceAng val="0"/>
        <c:holeSize val="0"/>
      </c:doughnutChart>
    </c:plotArea>
    <c:legend>
      <c:legendPos val="b"/>
      <c:layout/>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a:lstStyle/>
          <a:p>
            <a:r>
              <a:rPr lang="fr-FR"/>
              <a:t>Courbe spot EUR illustrative</a:t>
            </a:r>
          </a:p>
        </c:rich>
      </c:tx>
      <c:layout/>
      <c:overlay val="0"/>
    </c:title>
    <c:autoTitleDeleted val="0"/>
    <c:plotArea>
      <c:layout/>
      <c:lineChart>
        <c:grouping val="standard"/>
        <c:varyColors val="0"/>
        <c:ser>
          <c:idx val="0"/>
          <c:order val="0"/>
          <c:tx>
            <c:v>Taux spot</c:v>
          </c:tx>
          <c:marker>
            <c:symbol val="none"/>
          </c:marker>
          <c:cat>
            <c:numRef>
              <c:f>'Courbe Scenarios'!$A$6:$A$13</c:f>
              <c:numCache>
                <c:formatCode>0" ans"</c:formatCode>
                <c:ptCount val="8"/>
                <c:pt idx="0">
                  <c:v>1</c:v>
                </c:pt>
                <c:pt idx="1">
                  <c:v>2</c:v>
                </c:pt>
                <c:pt idx="2">
                  <c:v>3</c:v>
                </c:pt>
                <c:pt idx="3">
                  <c:v>5</c:v>
                </c:pt>
                <c:pt idx="4">
                  <c:v>7</c:v>
                </c:pt>
                <c:pt idx="5">
                  <c:v>10</c:v>
                </c:pt>
                <c:pt idx="6">
                  <c:v>15</c:v>
                </c:pt>
                <c:pt idx="7">
                  <c:v>30</c:v>
                </c:pt>
              </c:numCache>
            </c:numRef>
          </c:cat>
          <c:val>
            <c:numRef>
              <c:f>'Courbe Scenarios'!$B$6:$B$13</c:f>
              <c:numCache>
                <c:formatCode>0.00%;[Red]\(0.00%\);\-</c:formatCode>
                <c:ptCount val="8"/>
                <c:pt idx="0">
                  <c:v>0.02</c:v>
                </c:pt>
                <c:pt idx="1">
                  <c:v>2.1000000000000001E-2</c:v>
                </c:pt>
                <c:pt idx="2">
                  <c:v>2.18E-2</c:v>
                </c:pt>
                <c:pt idx="3">
                  <c:v>2.35E-2</c:v>
                </c:pt>
                <c:pt idx="4">
                  <c:v>2.5000000000000001E-2</c:v>
                </c:pt>
                <c:pt idx="5">
                  <c:v>2.6499999999999999E-2</c:v>
                </c:pt>
                <c:pt idx="6">
                  <c:v>2.8199999999999999E-2</c:v>
                </c:pt>
                <c:pt idx="7">
                  <c:v>3.0499999999999999E-2</c:v>
                </c:pt>
              </c:numCache>
            </c:numRef>
          </c:val>
          <c:smooth val="0"/>
          <c:extLst>
            <c:ext xmlns:c16="http://schemas.microsoft.com/office/drawing/2014/chart" uri="{C3380CC4-5D6E-409C-BE32-E72D297353CC}">
              <c16:uniqueId val="{00000000-3EE3-4804-AA5F-38D2AF662FC7}"/>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fr-FR"/>
                  <a:t>Maturite (annees)</a:t>
                </a:r>
              </a:p>
            </c:rich>
          </c:tx>
          <c:layout/>
          <c:overlay val="0"/>
        </c:title>
        <c:numFmt formatCode="0&quot; ans&quot;"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fr-FR"/>
                  <a:t>Taux spot</a:t>
                </a:r>
              </a:p>
            </c:rich>
          </c:tx>
          <c:layout/>
          <c:overlay val="0"/>
        </c:title>
        <c:numFmt formatCode="0.00%;[Red]\(0.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a:lstStyle/>
          <a:p>
            <a:r>
              <a:rPr lang="fr-FR"/>
              <a:t>DV01 avant / apres couverture</a:t>
            </a:r>
          </a:p>
        </c:rich>
      </c:tx>
      <c:layout/>
      <c:overlay val="0"/>
    </c:title>
    <c:autoTitleDeleted val="0"/>
    <c:plotArea>
      <c:layout/>
      <c:barChart>
        <c:barDir val="col"/>
        <c:grouping val="clustered"/>
        <c:varyColors val="0"/>
        <c:ser>
          <c:idx val="0"/>
          <c:order val="0"/>
          <c:tx>
            <c:v>Avant</c:v>
          </c:tx>
          <c:invertIfNegative val="1"/>
          <c:cat>
            <c:strRef>
              <c:f>Couverture!$A$15</c:f>
              <c:strCache>
                <c:ptCount val="1"/>
                <c:pt idx="0">
                  <c:v>DV01 absolue</c:v>
                </c:pt>
              </c:strCache>
            </c:strRef>
          </c:cat>
          <c:val>
            <c:numRef>
              <c:f>Couverture!$B$15</c:f>
              <c:numCache>
                <c:formatCode>\€#\ ##0.0;[Red]\(\€#\ ##0.0\);\-</c:formatCode>
                <c:ptCount val="1"/>
                <c:pt idx="0">
                  <c:v>3875.1079172809896</c:v>
                </c:pt>
              </c:numCache>
            </c:numRef>
          </c:val>
          <c:extLst>
            <c:ext xmlns:c16="http://schemas.microsoft.com/office/drawing/2014/chart" uri="{C3380CC4-5D6E-409C-BE32-E72D297353CC}">
              <c16:uniqueId val="{00000000-55D9-4445-AD15-C52494F0D49D}"/>
            </c:ext>
          </c:extLst>
        </c:ser>
        <c:ser>
          <c:idx val="1"/>
          <c:order val="1"/>
          <c:tx>
            <c:v>Apres</c:v>
          </c:tx>
          <c:invertIfNegative val="1"/>
          <c:cat>
            <c:strRef>
              <c:f>Couverture!$A$15</c:f>
              <c:strCache>
                <c:ptCount val="1"/>
                <c:pt idx="0">
                  <c:v>DV01 absolue</c:v>
                </c:pt>
              </c:strCache>
            </c:strRef>
          </c:cat>
          <c:val>
            <c:numRef>
              <c:f>Couverture!$C$15</c:f>
              <c:numCache>
                <c:formatCode>\€#\ ##0.0;[Red]\(\€#\ ##0.0\);\-</c:formatCode>
                <c:ptCount val="1"/>
                <c:pt idx="0">
                  <c:v>34.892082719010432</c:v>
                </c:pt>
              </c:numCache>
            </c:numRef>
          </c:val>
          <c:extLst>
            <c:ext xmlns:c16="http://schemas.microsoft.com/office/drawing/2014/chart" uri="{C3380CC4-5D6E-409C-BE32-E72D297353CC}">
              <c16:uniqueId val="{00000001-55D9-4445-AD15-C52494F0D49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 ##0.0;[Red]\(\€#\ ##0.0\);\-" sourceLinked="1"/>
        <c:majorTickMark val="none"/>
        <c:minorTickMark val="none"/>
        <c:tickLblPos val="nextTo"/>
        <c:crossAx val="48650112"/>
        <c:crosses val="autoZero"/>
        <c:crossBetween val="between"/>
      </c:valAx>
    </c:plotArea>
    <c:legend>
      <c:legendPos val="b"/>
      <c:layout/>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0</xdr:colOff>
      <xdr:row>8</xdr:row>
      <xdr:rowOff>0</xdr:rowOff>
    </xdr:from>
    <xdr:to>
      <xdr:col>16</xdr:col>
      <xdr:colOff>0</xdr:colOff>
      <xdr:row>20</xdr:row>
      <xdr:rowOff>0</xdr:rowOff>
    </xdr:to>
    <xdr:graphicFrame macro="">
      <xdr:nvGraphicFramePr>
        <xdr:cNvPr id="2"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21</xdr:row>
      <xdr:rowOff>0</xdr:rowOff>
    </xdr:from>
    <xdr:to>
      <xdr:col>16</xdr:col>
      <xdr:colOff>0</xdr:colOff>
      <xdr:row>35</xdr:row>
      <xdr:rowOff>0</xdr:rowOff>
    </xdr:to>
    <xdr:graphicFrame macro="">
      <xdr:nvGraphicFramePr>
        <xdr:cNvPr id="3"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0</xdr:rowOff>
    </xdr:from>
    <xdr:to>
      <xdr:col>8</xdr:col>
      <xdr:colOff>0</xdr:colOff>
      <xdr:row>31</xdr:row>
      <xdr:rowOff>0</xdr:rowOff>
    </xdr:to>
    <xdr:graphicFrame macro="">
      <xdr:nvGraphicFramePr>
        <xdr:cNvPr id="2"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9</xdr:col>
      <xdr:colOff>762000</xdr:colOff>
      <xdr:row>51</xdr:row>
      <xdr:rowOff>171450</xdr:rowOff>
    </xdr:to>
    <xdr:sp macro="" textlink="">
      <xdr:nvSpPr>
        <xdr:cNvPr id="2051" name="Text Box 3"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3</xdr:row>
      <xdr:rowOff>0</xdr:rowOff>
    </xdr:from>
    <xdr:to>
      <xdr:col>10</xdr:col>
      <xdr:colOff>0</xdr:colOff>
      <xdr:row>18</xdr:row>
      <xdr:rowOff>0</xdr:rowOff>
    </xdr:to>
    <xdr:graphicFrame macro="">
      <xdr:nvGraphicFramePr>
        <xdr:cNvPr id="2"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609600</xdr:colOff>
      <xdr:row>51</xdr:row>
      <xdr:rowOff>171450</xdr:rowOff>
    </xdr:to>
    <xdr:sp macro="" textlink="">
      <xdr:nvSpPr>
        <xdr:cNvPr id="4098" name="Text Box 2"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xltc:personList xmlns:xltc="http://schemas.microsoft.com/office/spreadsheetml/2018/threadedcomments">
  <xltc:person displayName="Sofia Kammoune" id="{C81953AE-0798-4B93-B62C-A4DE3B547F21}"/>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xml><?xml version="1.0" encoding="utf-8"?>
<xltc:ThreadedComments xmlns:xltc="http://schemas.microsoft.com/office/spreadsheetml/2018/threadedcomments">
  <xltc:threadedComment ref="B6" dT="2026-08-11T21:23:33.393" personId="{C81953AE-0798-4B93-B62C-A4DE3B547F21}" id="{4935053E-CB5A-9C96-D429-3A35C58E8A53}">
    <xltc:text>Source methodologique : BCE - Euro area yield curves. Les valeurs de ce tableau sont illustratives et non des cours de marche.</xltc:text>
  </xltc:threadedComment>
  <xltc:threadedComment ref="F7" dT="2026-08-11T21:23:33.394" personId="{C81953AE-0798-4B93-B62C-A4DE3B547F21}" id="{6B1A1CE5-8F2A-A8E7-58AA-287809B2A829}">
    <xltc:text>Les scenarios paralleles et non paralleles permettent d'evaluer les sensibilites de taux et de spread. Source methodologique : BIS/BCBS.</xltc:text>
  </xltc:threadedComment>
</xltc:ThreadedComments>
</file>

<file path=xl/threadedcomments/threadedcomment2.xml><?xml version="1.0" encoding="utf-8"?>
<xltc:ThreadedComments xmlns:xltc="http://schemas.microsoft.com/office/spreadsheetml/2018/threadedcomments">
  <xltc:threadedComment ref="L5" dT="2026-08-11T21:23:33.463" personId="{C81953AE-0798-4B93-B62C-A4DE3B547F21}" id="{E59DCEA9-7125-7444-412E-6FEE7C9BF2E7}">
    <xltc:text>Logique illustrative inspiree des pratiques de gestion du collateral ISDA : calcul de l'exposition, seuil, MTA, appel de marge et traitement des ecarts.</xltc:text>
  </xltc:threadedComment>
</xl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932a37621d9245ee" Type="http://schemas.microsoft.com/office/2017/10/relationships/threadedComment" Target="../threadedcomments/threadedcomment.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ad01bc0123694cf9" Type="http://schemas.microsoft.com/office/2017/10/relationships/threadedComment" Target="../threadedcomments/threadedcomment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00"/>
  <sheetViews>
    <sheetView showGridLines="0" workbookViewId="0">
      <selection activeCell="C11" sqref="C11"/>
    </sheetView>
  </sheetViews>
  <sheetFormatPr baseColWidth="10" defaultColWidth="9" defaultRowHeight="14.25"/>
  <cols>
    <col min="1" max="1" width="24" customWidth="1"/>
    <col min="2" max="2" width="18" customWidth="1"/>
    <col min="3" max="3" width="24" customWidth="1"/>
    <col min="4" max="16" width="12" customWidth="1"/>
  </cols>
  <sheetData>
    <row r="1" spans="1:26" ht="23.25">
      <c r="A1" s="110" t="s">
        <v>0</v>
      </c>
      <c r="B1" s="110" t="s">
        <v>0</v>
      </c>
      <c r="C1" s="110" t="s">
        <v>0</v>
      </c>
      <c r="D1" s="110" t="s">
        <v>0</v>
      </c>
      <c r="E1" s="110" t="s">
        <v>0</v>
      </c>
      <c r="F1" s="110" t="s">
        <v>0</v>
      </c>
      <c r="G1" s="110" t="s">
        <v>0</v>
      </c>
      <c r="H1" s="110" t="s">
        <v>0</v>
      </c>
      <c r="I1" s="110" t="s">
        <v>0</v>
      </c>
      <c r="J1" s="110" t="s">
        <v>0</v>
      </c>
      <c r="K1" s="110" t="s">
        <v>0</v>
      </c>
      <c r="L1" s="110" t="s">
        <v>0</v>
      </c>
      <c r="M1" s="110" t="s">
        <v>0</v>
      </c>
      <c r="N1" s="110" t="s">
        <v>0</v>
      </c>
      <c r="O1" s="110" t="s">
        <v>0</v>
      </c>
      <c r="P1" s="110" t="s">
        <v>0</v>
      </c>
      <c r="Q1" s="1"/>
      <c r="R1" s="1"/>
      <c r="S1" s="1"/>
      <c r="T1" s="1"/>
      <c r="U1" s="1"/>
      <c r="V1" s="1"/>
      <c r="W1" s="1"/>
      <c r="X1" s="1"/>
      <c r="Y1" s="1"/>
      <c r="Z1" s="1"/>
    </row>
    <row r="2" spans="1:26">
      <c r="A2" s="111" t="s">
        <v>1</v>
      </c>
      <c r="B2" s="111" t="s">
        <v>1</v>
      </c>
      <c r="C2" s="111" t="s">
        <v>1</v>
      </c>
      <c r="D2" s="111" t="s">
        <v>1</v>
      </c>
      <c r="E2" s="111" t="s">
        <v>1</v>
      </c>
      <c r="F2" s="111" t="s">
        <v>1</v>
      </c>
      <c r="G2" s="111" t="s">
        <v>1</v>
      </c>
      <c r="H2" s="111" t="s">
        <v>1</v>
      </c>
      <c r="I2" s="111" t="s">
        <v>1</v>
      </c>
      <c r="J2" s="111" t="s">
        <v>1</v>
      </c>
      <c r="K2" s="111" t="s">
        <v>1</v>
      </c>
      <c r="L2" s="111" t="s">
        <v>1</v>
      </c>
      <c r="M2" s="111" t="s">
        <v>1</v>
      </c>
      <c r="N2" s="111" t="s">
        <v>1</v>
      </c>
      <c r="O2" s="111" t="s">
        <v>1</v>
      </c>
      <c r="P2" s="111" t="s">
        <v>1</v>
      </c>
      <c r="Q2" s="1"/>
      <c r="R2" s="1"/>
      <c r="S2" s="1"/>
      <c r="T2" s="1"/>
      <c r="U2" s="1"/>
      <c r="V2" s="1"/>
      <c r="W2" s="1"/>
      <c r="X2" s="1"/>
      <c r="Y2" s="1"/>
      <c r="Z2" s="1"/>
    </row>
    <row r="3" spans="1:26">
      <c r="A3" s="95"/>
      <c r="B3" s="95"/>
      <c r="C3" s="95"/>
      <c r="D3" s="95"/>
      <c r="E3" s="95"/>
      <c r="F3" s="95"/>
      <c r="G3" s="95"/>
      <c r="H3" s="95"/>
      <c r="I3" s="95"/>
      <c r="J3" s="95"/>
      <c r="K3" s="95"/>
      <c r="L3" s="95"/>
      <c r="M3" s="95"/>
      <c r="N3" s="95"/>
      <c r="O3" s="95"/>
      <c r="P3" s="95"/>
      <c r="Q3" s="1"/>
      <c r="R3" s="1"/>
      <c r="S3" s="1"/>
      <c r="T3" s="1"/>
      <c r="U3" s="1"/>
      <c r="V3" s="1"/>
      <c r="W3" s="1"/>
      <c r="X3" s="1"/>
      <c r="Y3" s="1"/>
      <c r="Z3" s="1"/>
    </row>
    <row r="4" spans="1:26" ht="21.95" customHeight="1">
      <c r="A4" s="112" t="s">
        <v>2</v>
      </c>
      <c r="B4" s="112" t="s">
        <v>2</v>
      </c>
      <c r="C4" s="112" t="s">
        <v>2</v>
      </c>
      <c r="D4" s="112" t="s">
        <v>2</v>
      </c>
      <c r="E4" s="112" t="s">
        <v>3</v>
      </c>
      <c r="F4" s="112" t="s">
        <v>3</v>
      </c>
      <c r="G4" s="112" t="s">
        <v>3</v>
      </c>
      <c r="H4" s="112" t="s">
        <v>3</v>
      </c>
      <c r="I4" s="112" t="s">
        <v>4</v>
      </c>
      <c r="J4" s="112" t="s">
        <v>4</v>
      </c>
      <c r="K4" s="112" t="s">
        <v>4</v>
      </c>
      <c r="L4" s="112" t="s">
        <v>4</v>
      </c>
      <c r="M4" s="112" t="s">
        <v>5</v>
      </c>
      <c r="N4" s="112" t="s">
        <v>5</v>
      </c>
      <c r="O4" s="112" t="s">
        <v>5</v>
      </c>
      <c r="P4" s="112" t="s">
        <v>5</v>
      </c>
      <c r="Q4" s="1"/>
      <c r="R4" s="1"/>
      <c r="S4" s="1"/>
      <c r="T4" s="1"/>
      <c r="U4" s="1"/>
      <c r="V4" s="1"/>
      <c r="W4" s="1"/>
      <c r="X4" s="1"/>
      <c r="Y4" s="1"/>
      <c r="Z4" s="1"/>
    </row>
    <row r="5" spans="1:26" ht="26.1" customHeight="1">
      <c r="A5" s="113">
        <f>Portefeuille!$K$13</f>
        <v>10227860.405253148</v>
      </c>
      <c r="B5" s="114"/>
      <c r="C5" s="114"/>
      <c r="D5" s="115"/>
      <c r="E5" s="122">
        <f>SUMPRODUCT(Portefeuille!$H$5:$H$12,Portefeuille!$Q$5:$Q$12)</f>
        <v>2.8908457000130262E-2</v>
      </c>
      <c r="F5" s="123"/>
      <c r="G5" s="123"/>
      <c r="H5" s="124"/>
      <c r="I5" s="131">
        <f>Portefeuille!$M$13</f>
        <v>3.7887766979012434</v>
      </c>
      <c r="J5" s="132"/>
      <c r="K5" s="132"/>
      <c r="L5" s="133"/>
      <c r="M5" s="140">
        <f>Portefeuille!$O$13</f>
        <v>3875.1079172809896</v>
      </c>
      <c r="N5" s="141"/>
      <c r="O5" s="141"/>
      <c r="P5" s="142"/>
      <c r="Q5" s="1"/>
      <c r="R5" s="1"/>
      <c r="S5" s="1"/>
      <c r="T5" s="1"/>
      <c r="U5" s="1"/>
      <c r="V5" s="1"/>
      <c r="W5" s="1"/>
      <c r="X5" s="1"/>
      <c r="Y5" s="1"/>
      <c r="Z5" s="1"/>
    </row>
    <row r="6" spans="1:26" ht="26.1" customHeight="1">
      <c r="A6" s="116"/>
      <c r="B6" s="117"/>
      <c r="C6" s="117"/>
      <c r="D6" s="118"/>
      <c r="E6" s="125"/>
      <c r="F6" s="126"/>
      <c r="G6" s="126"/>
      <c r="H6" s="127"/>
      <c r="I6" s="134"/>
      <c r="J6" s="135"/>
      <c r="K6" s="135"/>
      <c r="L6" s="136"/>
      <c r="M6" s="143"/>
      <c r="N6" s="144"/>
      <c r="O6" s="144"/>
      <c r="P6" s="145"/>
      <c r="Q6" s="1"/>
      <c r="R6" s="1"/>
      <c r="S6" s="1"/>
      <c r="T6" s="1"/>
      <c r="U6" s="1"/>
      <c r="V6" s="1"/>
      <c r="W6" s="1"/>
      <c r="X6" s="1"/>
      <c r="Y6" s="1"/>
      <c r="Z6" s="1"/>
    </row>
    <row r="7" spans="1:26" ht="26.1" customHeight="1">
      <c r="A7" s="119"/>
      <c r="B7" s="120"/>
      <c r="C7" s="120"/>
      <c r="D7" s="121"/>
      <c r="E7" s="128"/>
      <c r="F7" s="129"/>
      <c r="G7" s="129"/>
      <c r="H7" s="130"/>
      <c r="I7" s="137"/>
      <c r="J7" s="138"/>
      <c r="K7" s="138"/>
      <c r="L7" s="139"/>
      <c r="M7" s="146"/>
      <c r="N7" s="147"/>
      <c r="O7" s="147"/>
      <c r="P7" s="148"/>
      <c r="Q7" s="1"/>
      <c r="R7" s="1"/>
      <c r="S7" s="1"/>
      <c r="T7" s="1"/>
      <c r="U7" s="1"/>
      <c r="V7" s="1"/>
      <c r="W7" s="1"/>
      <c r="X7" s="1"/>
      <c r="Y7" s="1"/>
      <c r="Z7" s="1"/>
    </row>
    <row r="8" spans="1:26">
      <c r="A8" s="95"/>
      <c r="B8" s="95"/>
      <c r="C8" s="95"/>
      <c r="D8" s="95"/>
      <c r="E8" s="95"/>
      <c r="F8" s="95"/>
      <c r="G8" s="95"/>
      <c r="H8" s="95"/>
      <c r="I8" s="95"/>
      <c r="J8" s="95"/>
      <c r="K8" s="95"/>
      <c r="L8" s="95"/>
      <c r="M8" s="95"/>
      <c r="N8" s="95"/>
      <c r="O8" s="95"/>
      <c r="P8" s="95"/>
      <c r="Q8" s="1"/>
      <c r="R8" s="1"/>
      <c r="S8" s="1"/>
      <c r="T8" s="1"/>
      <c r="U8" s="1"/>
      <c r="V8" s="1"/>
      <c r="W8" s="1"/>
      <c r="X8" s="1"/>
      <c r="Y8" s="1"/>
      <c r="Z8" s="1"/>
    </row>
    <row r="9" spans="1:26" ht="15">
      <c r="A9" s="149" t="s">
        <v>6</v>
      </c>
      <c r="B9" s="149" t="s">
        <v>6</v>
      </c>
      <c r="C9" s="149" t="s">
        <v>6</v>
      </c>
      <c r="D9" s="149" t="s">
        <v>6</v>
      </c>
      <c r="E9" s="149" t="s">
        <v>6</v>
      </c>
      <c r="F9" s="149" t="s">
        <v>6</v>
      </c>
      <c r="G9" s="149" t="s">
        <v>6</v>
      </c>
      <c r="H9" s="95"/>
      <c r="I9" s="95"/>
      <c r="J9" s="95"/>
      <c r="K9" s="95"/>
      <c r="L9" s="95"/>
      <c r="M9" s="95"/>
      <c r="N9" s="95"/>
      <c r="O9" s="95"/>
      <c r="P9" s="95"/>
      <c r="Q9" s="1"/>
      <c r="R9" s="1"/>
      <c r="S9" s="1"/>
      <c r="T9" s="1"/>
      <c r="U9" s="1"/>
      <c r="V9" s="1"/>
      <c r="W9" s="1"/>
      <c r="X9" s="1"/>
      <c r="Y9" s="1"/>
      <c r="Z9" s="1"/>
    </row>
    <row r="10" spans="1:26">
      <c r="A10" s="46" t="s">
        <v>7</v>
      </c>
      <c r="B10" s="47" t="s">
        <v>8</v>
      </c>
      <c r="C10" s="48" t="s">
        <v>9</v>
      </c>
      <c r="D10" s="95"/>
      <c r="E10" s="95"/>
      <c r="F10" s="95"/>
      <c r="G10" s="95"/>
      <c r="H10" s="95"/>
      <c r="I10" s="95"/>
      <c r="J10" s="95"/>
      <c r="K10" s="95"/>
      <c r="L10" s="95"/>
      <c r="M10" s="95"/>
      <c r="N10" s="95"/>
      <c r="O10" s="95"/>
      <c r="P10" s="95"/>
      <c r="Q10" s="1"/>
      <c r="R10" s="1"/>
      <c r="S10" s="1"/>
      <c r="T10" s="1"/>
      <c r="U10" s="1"/>
      <c r="V10" s="1"/>
      <c r="W10" s="1"/>
      <c r="X10" s="1"/>
      <c r="Y10" s="1"/>
      <c r="Z10" s="1"/>
    </row>
    <row r="11" spans="1:26">
      <c r="A11" s="96" t="s">
        <v>10</v>
      </c>
      <c r="B11" s="97">
        <f>Portefeuille!$N$13</f>
        <v>24.029537791152038</v>
      </c>
      <c r="C11" s="98" t="s">
        <v>11</v>
      </c>
      <c r="D11" s="95"/>
      <c r="E11" s="95"/>
      <c r="F11" s="95"/>
      <c r="G11" s="95"/>
      <c r="H11" s="95"/>
      <c r="I11" s="95"/>
      <c r="J11" s="95"/>
      <c r="K11" s="95"/>
      <c r="L11" s="95"/>
      <c r="M11" s="95"/>
      <c r="N11" s="95"/>
      <c r="O11" s="95"/>
      <c r="P11" s="95"/>
      <c r="Q11" s="1"/>
      <c r="R11" s="1"/>
      <c r="S11" s="1"/>
      <c r="T11" s="1"/>
      <c r="U11" s="1"/>
      <c r="V11" s="1"/>
      <c r="W11" s="1"/>
      <c r="X11" s="1"/>
      <c r="Y11" s="1"/>
      <c r="Z11" s="1"/>
    </row>
    <row r="12" spans="1:26">
      <c r="A12" s="96" t="s">
        <v>12</v>
      </c>
      <c r="B12" s="99" t="s">
        <v>13</v>
      </c>
      <c r="C12" s="98" t="s">
        <v>14</v>
      </c>
      <c r="D12" s="95"/>
      <c r="E12" s="95"/>
      <c r="F12" s="95"/>
      <c r="G12" s="95"/>
      <c r="H12" s="95"/>
      <c r="I12" s="95"/>
      <c r="J12" s="95"/>
      <c r="K12" s="95"/>
      <c r="L12" s="95"/>
      <c r="M12" s="95"/>
      <c r="N12" s="95"/>
      <c r="O12" s="95"/>
      <c r="P12" s="95"/>
      <c r="Q12" s="1"/>
      <c r="R12" s="1"/>
      <c r="S12" s="1"/>
      <c r="T12" s="1"/>
      <c r="U12" s="1"/>
      <c r="V12" s="1"/>
      <c r="W12" s="1"/>
      <c r="X12" s="1"/>
      <c r="Y12" s="1"/>
      <c r="Z12" s="1"/>
    </row>
    <row r="13" spans="1:26">
      <c r="A13" s="96" t="s">
        <v>15</v>
      </c>
      <c r="B13" s="100">
        <f>'Stress Tests'!$B$50</f>
        <v>-462850.85459079786</v>
      </c>
      <c r="C13" s="98" t="s">
        <v>16</v>
      </c>
      <c r="D13" s="95"/>
      <c r="E13" s="95"/>
      <c r="F13" s="95"/>
      <c r="G13" s="95"/>
      <c r="H13" s="95"/>
      <c r="I13" s="95"/>
      <c r="J13" s="95"/>
      <c r="K13" s="95"/>
      <c r="L13" s="95"/>
      <c r="M13" s="95"/>
      <c r="N13" s="95"/>
      <c r="O13" s="95"/>
      <c r="P13" s="95"/>
      <c r="Q13" s="1"/>
      <c r="R13" s="1"/>
      <c r="S13" s="1"/>
      <c r="T13" s="1"/>
      <c r="U13" s="1"/>
      <c r="V13" s="1"/>
      <c r="W13" s="1"/>
      <c r="X13" s="1"/>
      <c r="Y13" s="1"/>
      <c r="Z13" s="1"/>
    </row>
    <row r="14" spans="1:26">
      <c r="A14" s="96" t="s">
        <v>17</v>
      </c>
      <c r="B14" s="101">
        <f>'Stress Tests'!$C$50</f>
        <v>-4.525392763016909E-2</v>
      </c>
      <c r="C14" s="98" t="s">
        <v>18</v>
      </c>
      <c r="D14" s="95"/>
      <c r="E14" s="95"/>
      <c r="F14" s="95"/>
      <c r="G14" s="95"/>
      <c r="H14" s="95"/>
      <c r="I14" s="95"/>
      <c r="J14" s="95"/>
      <c r="K14" s="95"/>
      <c r="L14" s="95"/>
      <c r="M14" s="95"/>
      <c r="N14" s="95"/>
      <c r="O14" s="95"/>
      <c r="P14" s="95"/>
      <c r="Q14" s="1"/>
      <c r="R14" s="1"/>
      <c r="S14" s="1"/>
      <c r="T14" s="1"/>
      <c r="U14" s="1"/>
      <c r="V14" s="1"/>
      <c r="W14" s="1"/>
      <c r="X14" s="1"/>
      <c r="Y14" s="1"/>
      <c r="Z14" s="1"/>
    </row>
    <row r="15" spans="1:26" ht="25.5">
      <c r="A15" s="102" t="s">
        <v>19</v>
      </c>
      <c r="B15" s="103" t="str">
        <f>Checks!$B$16</f>
        <v>OK</v>
      </c>
      <c r="C15" s="104" t="s">
        <v>20</v>
      </c>
      <c r="D15" s="95"/>
      <c r="E15" s="95"/>
      <c r="F15" s="95"/>
      <c r="G15" s="95"/>
      <c r="H15" s="95"/>
      <c r="I15" s="95"/>
      <c r="J15" s="95"/>
      <c r="K15" s="95"/>
      <c r="L15" s="95"/>
      <c r="M15" s="95"/>
      <c r="N15" s="95"/>
      <c r="O15" s="95"/>
      <c r="P15" s="95"/>
      <c r="Q15" s="1"/>
      <c r="R15" s="1"/>
      <c r="S15" s="1"/>
      <c r="T15" s="1"/>
      <c r="U15" s="1"/>
      <c r="V15" s="1"/>
      <c r="W15" s="1"/>
      <c r="X15" s="1"/>
      <c r="Y15" s="1"/>
      <c r="Z15" s="1"/>
    </row>
    <row r="16" spans="1:26">
      <c r="A16" s="95"/>
      <c r="B16" s="95"/>
      <c r="C16" s="95"/>
      <c r="D16" s="95"/>
      <c r="E16" s="95"/>
      <c r="F16" s="95"/>
      <c r="G16" s="95"/>
      <c r="H16" s="95"/>
      <c r="I16" s="95"/>
      <c r="J16" s="95"/>
      <c r="K16" s="95"/>
      <c r="L16" s="95"/>
      <c r="M16" s="95"/>
      <c r="N16" s="95"/>
      <c r="O16" s="95"/>
      <c r="P16" s="95"/>
      <c r="Q16" s="1"/>
      <c r="R16" s="1"/>
      <c r="S16" s="1"/>
      <c r="T16" s="1"/>
      <c r="U16" s="1"/>
      <c r="V16" s="1"/>
      <c r="W16" s="1"/>
      <c r="X16" s="1"/>
      <c r="Y16" s="1"/>
      <c r="Z16" s="1"/>
    </row>
    <row r="17" spans="1:26">
      <c r="A17" s="95"/>
      <c r="B17" s="95"/>
      <c r="C17" s="95"/>
      <c r="D17" s="95"/>
      <c r="E17" s="95"/>
      <c r="F17" s="95"/>
      <c r="G17" s="95"/>
      <c r="H17" s="95"/>
      <c r="I17" s="95"/>
      <c r="J17" s="95"/>
      <c r="K17" s="95"/>
      <c r="L17" s="95"/>
      <c r="M17" s="95"/>
      <c r="N17" s="95"/>
      <c r="O17" s="95"/>
      <c r="P17" s="95"/>
      <c r="Q17" s="1"/>
      <c r="R17" s="1"/>
      <c r="S17" s="1"/>
      <c r="T17" s="1"/>
      <c r="U17" s="1"/>
      <c r="V17" s="1"/>
      <c r="W17" s="1"/>
      <c r="X17" s="1"/>
      <c r="Y17" s="1"/>
      <c r="Z17" s="1"/>
    </row>
    <row r="18" spans="1:26" ht="15">
      <c r="A18" s="149" t="s">
        <v>21</v>
      </c>
      <c r="B18" s="149" t="s">
        <v>21</v>
      </c>
      <c r="C18" s="149" t="s">
        <v>21</v>
      </c>
      <c r="D18" s="149" t="s">
        <v>21</v>
      </c>
      <c r="E18" s="149" t="s">
        <v>21</v>
      </c>
      <c r="F18" s="149" t="s">
        <v>21</v>
      </c>
      <c r="G18" s="149" t="s">
        <v>21</v>
      </c>
      <c r="H18" s="95"/>
      <c r="I18" s="95"/>
      <c r="J18" s="95"/>
      <c r="K18" s="95"/>
      <c r="L18" s="95"/>
      <c r="M18" s="95"/>
      <c r="N18" s="95"/>
      <c r="O18" s="95"/>
      <c r="P18" s="95"/>
      <c r="Q18" s="1"/>
      <c r="R18" s="1"/>
      <c r="S18" s="1"/>
      <c r="T18" s="1"/>
      <c r="U18" s="1"/>
      <c r="V18" s="1"/>
      <c r="W18" s="1"/>
      <c r="X18" s="1"/>
      <c r="Y18" s="1"/>
      <c r="Z18" s="1"/>
    </row>
    <row r="19" spans="1:26">
      <c r="A19" s="46" t="s">
        <v>7</v>
      </c>
      <c r="B19" s="47" t="s">
        <v>8</v>
      </c>
      <c r="C19" s="48" t="s">
        <v>22</v>
      </c>
      <c r="D19" s="95"/>
      <c r="E19" s="95"/>
      <c r="F19" s="95"/>
      <c r="G19" s="95"/>
      <c r="H19" s="95"/>
      <c r="I19" s="95"/>
      <c r="J19" s="95"/>
      <c r="K19" s="95"/>
      <c r="L19" s="95"/>
      <c r="M19" s="95"/>
      <c r="N19" s="95"/>
      <c r="O19" s="95"/>
      <c r="P19" s="95"/>
      <c r="Q19" s="1"/>
      <c r="R19" s="1"/>
      <c r="S19" s="1"/>
      <c r="T19" s="1"/>
      <c r="U19" s="1"/>
      <c r="V19" s="1"/>
      <c r="W19" s="1"/>
      <c r="X19" s="1"/>
      <c r="Y19" s="1"/>
      <c r="Z19" s="1"/>
    </row>
    <row r="20" spans="1:26">
      <c r="A20" s="96" t="s">
        <v>23</v>
      </c>
      <c r="B20" s="105">
        <f>Couverture!$B$8</f>
        <v>-46</v>
      </c>
      <c r="C20" s="106" t="s">
        <v>24</v>
      </c>
      <c r="D20" s="95"/>
      <c r="E20" s="95"/>
      <c r="F20" s="95"/>
      <c r="G20" s="95"/>
      <c r="H20" s="95"/>
      <c r="I20" s="95"/>
      <c r="J20" s="95"/>
      <c r="K20" s="95"/>
      <c r="L20" s="95"/>
      <c r="M20" s="95"/>
      <c r="N20" s="95"/>
      <c r="O20" s="95"/>
      <c r="P20" s="95"/>
      <c r="Q20" s="1"/>
      <c r="R20" s="1"/>
      <c r="S20" s="1"/>
      <c r="T20" s="1"/>
      <c r="U20" s="1"/>
      <c r="V20" s="1"/>
      <c r="W20" s="1"/>
      <c r="X20" s="1"/>
      <c r="Y20" s="1"/>
      <c r="Z20" s="1"/>
    </row>
    <row r="21" spans="1:26">
      <c r="A21" s="96" t="s">
        <v>25</v>
      </c>
      <c r="B21" s="107">
        <f>Couverture!$B$9</f>
        <v>-34.892082719010432</v>
      </c>
      <c r="C21" s="106" t="s">
        <v>26</v>
      </c>
      <c r="D21" s="95"/>
      <c r="E21" s="95"/>
      <c r="F21" s="95"/>
      <c r="G21" s="95"/>
      <c r="H21" s="95"/>
      <c r="I21" s="95"/>
      <c r="J21" s="95"/>
      <c r="K21" s="95"/>
      <c r="L21" s="95"/>
      <c r="M21" s="95"/>
      <c r="N21" s="95"/>
      <c r="O21" s="95"/>
      <c r="P21" s="95"/>
      <c r="Q21" s="1"/>
      <c r="R21" s="1"/>
      <c r="S21" s="1"/>
      <c r="T21" s="1"/>
      <c r="U21" s="1"/>
      <c r="V21" s="1"/>
      <c r="W21" s="1"/>
      <c r="X21" s="1"/>
      <c r="Y21" s="1"/>
      <c r="Z21" s="1"/>
    </row>
    <row r="22" spans="1:26">
      <c r="A22" s="96" t="s">
        <v>27</v>
      </c>
      <c r="B22" s="101">
        <f>Couverture!$B$10</f>
        <v>0.99099584231876237</v>
      </c>
      <c r="C22" s="106" t="s">
        <v>28</v>
      </c>
      <c r="D22" s="95"/>
      <c r="E22" s="95"/>
      <c r="F22" s="95"/>
      <c r="G22" s="95"/>
      <c r="H22" s="95"/>
      <c r="I22" s="95"/>
      <c r="J22" s="95"/>
      <c r="K22" s="95"/>
      <c r="L22" s="95"/>
      <c r="M22" s="95"/>
      <c r="N22" s="95"/>
      <c r="O22" s="95"/>
      <c r="P22" s="95"/>
      <c r="Q22" s="1"/>
      <c r="R22" s="1"/>
      <c r="S22" s="1"/>
      <c r="T22" s="1"/>
      <c r="U22" s="1"/>
      <c r="V22" s="1"/>
      <c r="W22" s="1"/>
      <c r="X22" s="1"/>
      <c r="Y22" s="1"/>
      <c r="Z22" s="1"/>
    </row>
    <row r="23" spans="1:26">
      <c r="A23" s="96" t="s">
        <v>29</v>
      </c>
      <c r="B23" s="100">
        <f>SUM(Collateral!$L$5:$L$10)</f>
        <v>30000</v>
      </c>
      <c r="C23" s="106" t="s">
        <v>30</v>
      </c>
      <c r="D23" s="95"/>
      <c r="E23" s="95"/>
      <c r="F23" s="95"/>
      <c r="G23" s="95"/>
      <c r="H23" s="95"/>
      <c r="I23" s="95"/>
      <c r="J23" s="95"/>
      <c r="K23" s="95"/>
      <c r="L23" s="95"/>
      <c r="M23" s="95"/>
      <c r="N23" s="95"/>
      <c r="O23" s="95"/>
      <c r="P23" s="95"/>
      <c r="Q23" s="1"/>
      <c r="R23" s="1"/>
      <c r="S23" s="1"/>
      <c r="T23" s="1"/>
      <c r="U23" s="1"/>
      <c r="V23" s="1"/>
      <c r="W23" s="1"/>
      <c r="X23" s="1"/>
      <c r="Y23" s="1"/>
      <c r="Z23" s="1"/>
    </row>
    <row r="24" spans="1:26">
      <c r="A24" s="96" t="s">
        <v>31</v>
      </c>
      <c r="B24" s="105">
        <f>Collateral!$B$17</f>
        <v>1</v>
      </c>
      <c r="C24" s="106" t="s">
        <v>32</v>
      </c>
      <c r="D24" s="95"/>
      <c r="E24" s="95"/>
      <c r="F24" s="95"/>
      <c r="G24" s="95"/>
      <c r="H24" s="95"/>
      <c r="I24" s="95"/>
      <c r="J24" s="95"/>
      <c r="K24" s="95"/>
      <c r="L24" s="95"/>
      <c r="M24" s="95"/>
      <c r="N24" s="95"/>
      <c r="O24" s="95"/>
      <c r="P24" s="95"/>
      <c r="Q24" s="1"/>
      <c r="R24" s="1"/>
      <c r="S24" s="1"/>
      <c r="T24" s="1"/>
      <c r="U24" s="1"/>
      <c r="V24" s="1"/>
      <c r="W24" s="1"/>
      <c r="X24" s="1"/>
      <c r="Y24" s="1"/>
      <c r="Z24" s="1"/>
    </row>
    <row r="25" spans="1:26">
      <c r="A25" s="102" t="s">
        <v>33</v>
      </c>
      <c r="B25" s="108">
        <f>COUNTIF(Reconciliation!$K$5:$K$12,"EXCEPTION")</f>
        <v>2</v>
      </c>
      <c r="C25" s="109" t="s">
        <v>32</v>
      </c>
      <c r="D25" s="95"/>
      <c r="E25" s="95"/>
      <c r="F25" s="95"/>
      <c r="G25" s="95"/>
      <c r="H25" s="95"/>
      <c r="I25" s="95"/>
      <c r="J25" s="95"/>
      <c r="K25" s="95"/>
      <c r="L25" s="95"/>
      <c r="M25" s="95"/>
      <c r="N25" s="95"/>
      <c r="O25" s="95"/>
      <c r="P25" s="95"/>
      <c r="Q25" s="1"/>
      <c r="R25" s="1"/>
      <c r="S25" s="1"/>
      <c r="T25" s="1"/>
      <c r="U25" s="1"/>
      <c r="V25" s="1"/>
      <c r="W25" s="1"/>
      <c r="X25" s="1"/>
      <c r="Y25" s="1"/>
      <c r="Z25" s="1"/>
    </row>
    <row r="26" spans="1:26">
      <c r="A26" s="95"/>
      <c r="B26" s="95"/>
      <c r="C26" s="95"/>
      <c r="D26" s="95"/>
      <c r="E26" s="95"/>
      <c r="F26" s="95"/>
      <c r="G26" s="95"/>
      <c r="H26" s="95"/>
      <c r="I26" s="95"/>
      <c r="J26" s="95"/>
      <c r="K26" s="95"/>
      <c r="L26" s="95"/>
      <c r="M26" s="95"/>
      <c r="N26" s="95"/>
      <c r="O26" s="95"/>
      <c r="P26" s="95"/>
      <c r="Q26" s="1"/>
      <c r="R26" s="1"/>
      <c r="S26" s="1"/>
      <c r="T26" s="1"/>
      <c r="U26" s="1"/>
      <c r="V26" s="1"/>
      <c r="W26" s="1"/>
      <c r="X26" s="1"/>
      <c r="Y26" s="1"/>
      <c r="Z26" s="1"/>
    </row>
    <row r="27" spans="1:26">
      <c r="A27" s="95"/>
      <c r="B27" s="95"/>
      <c r="C27" s="95"/>
      <c r="D27" s="95"/>
      <c r="E27" s="95"/>
      <c r="F27" s="95"/>
      <c r="G27" s="95"/>
      <c r="H27" s="95"/>
      <c r="I27" s="95"/>
      <c r="J27" s="95"/>
      <c r="K27" s="95"/>
      <c r="L27" s="95"/>
      <c r="M27" s="95"/>
      <c r="N27" s="95"/>
      <c r="O27" s="95"/>
      <c r="P27" s="95"/>
      <c r="Q27" s="1"/>
      <c r="R27" s="1"/>
      <c r="S27" s="1"/>
      <c r="T27" s="1"/>
      <c r="U27" s="1"/>
      <c r="V27" s="1"/>
      <c r="W27" s="1"/>
      <c r="X27" s="1"/>
      <c r="Y27" s="1"/>
      <c r="Z27" s="1"/>
    </row>
    <row r="28" spans="1:26">
      <c r="A28" s="150" t="s">
        <v>34</v>
      </c>
      <c r="B28" s="151" t="s">
        <v>34</v>
      </c>
      <c r="C28" s="151" t="s">
        <v>34</v>
      </c>
      <c r="D28" s="151" t="s">
        <v>34</v>
      </c>
      <c r="E28" s="151" t="s">
        <v>34</v>
      </c>
      <c r="F28" s="151" t="s">
        <v>34</v>
      </c>
      <c r="G28" s="152" t="s">
        <v>34</v>
      </c>
      <c r="H28" s="95"/>
      <c r="I28" s="95"/>
      <c r="J28" s="95"/>
      <c r="K28" s="95"/>
      <c r="L28" s="95"/>
      <c r="M28" s="95"/>
      <c r="N28" s="95"/>
      <c r="O28" s="95"/>
      <c r="P28" s="95"/>
      <c r="Q28" s="1"/>
      <c r="R28" s="1"/>
      <c r="S28" s="1"/>
      <c r="T28" s="1"/>
      <c r="U28" s="1"/>
      <c r="V28" s="1"/>
      <c r="W28" s="1"/>
      <c r="X28" s="1"/>
      <c r="Y28" s="1"/>
      <c r="Z28" s="1"/>
    </row>
    <row r="29" spans="1:26">
      <c r="A29" s="153" t="s">
        <v>34</v>
      </c>
      <c r="B29" s="154" t="s">
        <v>34</v>
      </c>
      <c r="C29" s="154" t="s">
        <v>34</v>
      </c>
      <c r="D29" s="154" t="s">
        <v>34</v>
      </c>
      <c r="E29" s="154" t="s">
        <v>34</v>
      </c>
      <c r="F29" s="154" t="s">
        <v>34</v>
      </c>
      <c r="G29" s="155" t="s">
        <v>34</v>
      </c>
      <c r="H29" s="95"/>
      <c r="I29" s="95"/>
      <c r="J29" s="95"/>
      <c r="K29" s="95"/>
      <c r="L29" s="95"/>
      <c r="M29" s="95"/>
      <c r="N29" s="95"/>
      <c r="O29" s="95"/>
      <c r="P29" s="95"/>
      <c r="Q29" s="1"/>
      <c r="R29" s="1"/>
      <c r="S29" s="1"/>
      <c r="T29" s="1"/>
      <c r="U29" s="1"/>
      <c r="V29" s="1"/>
      <c r="W29" s="1"/>
      <c r="X29" s="1"/>
      <c r="Y29" s="1"/>
      <c r="Z29" s="1"/>
    </row>
    <row r="30" spans="1:26">
      <c r="A30" s="153" t="s">
        <v>34</v>
      </c>
      <c r="B30" s="154" t="s">
        <v>34</v>
      </c>
      <c r="C30" s="154" t="s">
        <v>34</v>
      </c>
      <c r="D30" s="154" t="s">
        <v>34</v>
      </c>
      <c r="E30" s="154" t="s">
        <v>34</v>
      </c>
      <c r="F30" s="154" t="s">
        <v>34</v>
      </c>
      <c r="G30" s="155" t="s">
        <v>34</v>
      </c>
      <c r="H30" s="95"/>
      <c r="I30" s="95"/>
      <c r="J30" s="95"/>
      <c r="K30" s="95"/>
      <c r="L30" s="95"/>
      <c r="M30" s="95"/>
      <c r="N30" s="95"/>
      <c r="O30" s="95"/>
      <c r="P30" s="95"/>
      <c r="Q30" s="1"/>
      <c r="R30" s="1"/>
      <c r="S30" s="1"/>
      <c r="T30" s="1"/>
      <c r="U30" s="1"/>
      <c r="V30" s="1"/>
      <c r="W30" s="1"/>
      <c r="X30" s="1"/>
      <c r="Y30" s="1"/>
      <c r="Z30" s="1"/>
    </row>
    <row r="31" spans="1:26">
      <c r="A31" s="156" t="s">
        <v>34</v>
      </c>
      <c r="B31" s="157" t="s">
        <v>34</v>
      </c>
      <c r="C31" s="157" t="s">
        <v>34</v>
      </c>
      <c r="D31" s="157" t="s">
        <v>34</v>
      </c>
      <c r="E31" s="157" t="s">
        <v>34</v>
      </c>
      <c r="F31" s="157" t="s">
        <v>34</v>
      </c>
      <c r="G31" s="158" t="s">
        <v>34</v>
      </c>
      <c r="H31" s="95"/>
      <c r="I31" s="95"/>
      <c r="J31" s="95"/>
      <c r="K31" s="95"/>
      <c r="L31" s="95"/>
      <c r="M31" s="95"/>
      <c r="N31" s="95"/>
      <c r="O31" s="95"/>
      <c r="P31" s="95"/>
      <c r="Q31" s="1"/>
      <c r="R31" s="1"/>
      <c r="S31" s="1"/>
      <c r="T31" s="1"/>
      <c r="U31" s="1"/>
      <c r="V31" s="1"/>
      <c r="W31" s="1"/>
      <c r="X31" s="1"/>
      <c r="Y31" s="1"/>
      <c r="Z31" s="1"/>
    </row>
    <row r="32" spans="1:26">
      <c r="A32" s="95"/>
      <c r="B32" s="95"/>
      <c r="C32" s="95"/>
      <c r="D32" s="95"/>
      <c r="E32" s="95"/>
      <c r="F32" s="95"/>
      <c r="G32" s="95"/>
      <c r="H32" s="95"/>
      <c r="I32" s="95"/>
      <c r="J32" s="95"/>
      <c r="K32" s="95"/>
      <c r="L32" s="95"/>
      <c r="M32" s="95"/>
      <c r="N32" s="95"/>
      <c r="O32" s="95"/>
      <c r="P32" s="95"/>
      <c r="Q32" s="1"/>
      <c r="R32" s="1"/>
      <c r="S32" s="1"/>
      <c r="T32" s="1"/>
      <c r="U32" s="1"/>
      <c r="V32" s="1"/>
      <c r="W32" s="1"/>
      <c r="X32" s="1"/>
      <c r="Y32" s="1"/>
      <c r="Z32" s="1"/>
    </row>
    <row r="33" spans="1:26">
      <c r="A33" s="95"/>
      <c r="B33" s="95"/>
      <c r="C33" s="95"/>
      <c r="D33" s="95"/>
      <c r="E33" s="95"/>
      <c r="F33" s="95"/>
      <c r="G33" s="95"/>
      <c r="H33" s="95"/>
      <c r="I33" s="95"/>
      <c r="J33" s="95"/>
      <c r="K33" s="95"/>
      <c r="L33" s="95"/>
      <c r="M33" s="95"/>
      <c r="N33" s="95"/>
      <c r="O33" s="95"/>
      <c r="P33" s="95"/>
      <c r="Q33" s="1"/>
      <c r="R33" s="1"/>
      <c r="S33" s="1"/>
      <c r="T33" s="1"/>
      <c r="U33" s="1"/>
      <c r="V33" s="1"/>
      <c r="W33" s="1"/>
      <c r="X33" s="1"/>
      <c r="Y33" s="1"/>
      <c r="Z33" s="1"/>
    </row>
    <row r="34" spans="1:26">
      <c r="A34" s="95"/>
      <c r="B34" s="95"/>
      <c r="C34" s="95"/>
      <c r="D34" s="95"/>
      <c r="E34" s="95"/>
      <c r="F34" s="95"/>
      <c r="G34" s="95"/>
      <c r="H34" s="95"/>
      <c r="I34" s="95"/>
      <c r="J34" s="95"/>
      <c r="K34" s="95"/>
      <c r="L34" s="95"/>
      <c r="M34" s="95"/>
      <c r="N34" s="95"/>
      <c r="O34" s="95"/>
      <c r="P34" s="95"/>
      <c r="Q34" s="1"/>
      <c r="R34" s="1"/>
      <c r="S34" s="1"/>
      <c r="T34" s="1"/>
      <c r="U34" s="1"/>
      <c r="V34" s="1"/>
      <c r="W34" s="1"/>
      <c r="X34" s="1"/>
      <c r="Y34" s="1"/>
      <c r="Z34" s="1"/>
    </row>
    <row r="35" spans="1:26">
      <c r="A35" s="95"/>
      <c r="B35" s="95"/>
      <c r="C35" s="95"/>
      <c r="D35" s="95"/>
      <c r="E35" s="95"/>
      <c r="F35" s="95"/>
      <c r="G35" s="95"/>
      <c r="H35" s="95"/>
      <c r="I35" s="95"/>
      <c r="J35" s="95"/>
      <c r="K35" s="95"/>
      <c r="L35" s="95"/>
      <c r="M35" s="95"/>
      <c r="N35" s="95"/>
      <c r="O35" s="95"/>
      <c r="P35" s="95"/>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13">
    <mergeCell ref="A9:G9"/>
    <mergeCell ref="A18:G18"/>
    <mergeCell ref="A28:G31"/>
    <mergeCell ref="A1:P1"/>
    <mergeCell ref="A2:P2"/>
    <mergeCell ref="A4:D4"/>
    <mergeCell ref="A5:D7"/>
    <mergeCell ref="E4:H4"/>
    <mergeCell ref="E5:H7"/>
    <mergeCell ref="I4:L4"/>
    <mergeCell ref="I5:L7"/>
    <mergeCell ref="M4:P4"/>
    <mergeCell ref="M5:P7"/>
  </mergeCells>
  <conditionalFormatting sqref="B15">
    <cfRule type="containsText" dxfId="9" priority="1" operator="containsText" text="OK"/>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00"/>
  <sheetViews>
    <sheetView showGridLines="0" workbookViewId="0">
      <selection activeCell="F19" sqref="F19"/>
    </sheetView>
  </sheetViews>
  <sheetFormatPr baseColWidth="10" defaultColWidth="9" defaultRowHeight="14.25"/>
  <cols>
    <col min="1" max="1" width="8" customWidth="1"/>
    <col min="2" max="2" width="26" customWidth="1"/>
    <col min="3" max="3" width="14" customWidth="1"/>
    <col min="4" max="4" width="9" customWidth="1"/>
    <col min="5" max="5" width="13" customWidth="1"/>
    <col min="6" max="6" width="9" customWidth="1"/>
    <col min="7" max="8" width="10" customWidth="1"/>
    <col min="9" max="9" width="15" customWidth="1"/>
    <col min="10" max="10" width="12" customWidth="1"/>
    <col min="11" max="11" width="17" customWidth="1"/>
    <col min="12" max="13" width="14" customWidth="1"/>
    <col min="14" max="14" width="11" customWidth="1"/>
    <col min="15" max="15" width="13" customWidth="1"/>
    <col min="16" max="16" width="10" customWidth="1"/>
    <col min="17" max="17" width="9" customWidth="1"/>
    <col min="18" max="18" width="19" customWidth="1"/>
  </cols>
  <sheetData>
    <row r="1" spans="1:26" ht="23.25">
      <c r="A1" s="110" t="s">
        <v>35</v>
      </c>
      <c r="B1" s="110" t="s">
        <v>35</v>
      </c>
      <c r="C1" s="110" t="s">
        <v>35</v>
      </c>
      <c r="D1" s="110" t="s">
        <v>35</v>
      </c>
      <c r="E1" s="110" t="s">
        <v>35</v>
      </c>
      <c r="F1" s="110" t="s">
        <v>35</v>
      </c>
      <c r="G1" s="110" t="s">
        <v>35</v>
      </c>
      <c r="H1" s="110" t="s">
        <v>35</v>
      </c>
      <c r="I1" s="110" t="s">
        <v>35</v>
      </c>
      <c r="J1" s="110" t="s">
        <v>35</v>
      </c>
      <c r="K1" s="110" t="s">
        <v>35</v>
      </c>
      <c r="L1" s="110" t="s">
        <v>35</v>
      </c>
      <c r="M1" s="110" t="s">
        <v>35</v>
      </c>
      <c r="N1" s="110" t="s">
        <v>35</v>
      </c>
      <c r="O1" s="110" t="s">
        <v>35</v>
      </c>
      <c r="P1" s="110" t="s">
        <v>35</v>
      </c>
      <c r="Q1" s="110" t="s">
        <v>35</v>
      </c>
      <c r="R1" s="110" t="s">
        <v>35</v>
      </c>
      <c r="S1" s="1"/>
      <c r="T1" s="1"/>
      <c r="U1" s="1"/>
      <c r="V1" s="1"/>
      <c r="W1" s="1"/>
      <c r="X1" s="1"/>
      <c r="Y1" s="1"/>
      <c r="Z1" s="1"/>
    </row>
    <row r="2" spans="1:26">
      <c r="A2" s="111" t="s">
        <v>36</v>
      </c>
      <c r="B2" s="111" t="s">
        <v>36</v>
      </c>
      <c r="C2" s="111" t="s">
        <v>36</v>
      </c>
      <c r="D2" s="111" t="s">
        <v>36</v>
      </c>
      <c r="E2" s="111" t="s">
        <v>36</v>
      </c>
      <c r="F2" s="111" t="s">
        <v>36</v>
      </c>
      <c r="G2" s="111" t="s">
        <v>36</v>
      </c>
      <c r="H2" s="111" t="s">
        <v>36</v>
      </c>
      <c r="I2" s="111" t="s">
        <v>36</v>
      </c>
      <c r="J2" s="111" t="s">
        <v>36</v>
      </c>
      <c r="K2" s="111" t="s">
        <v>36</v>
      </c>
      <c r="L2" s="111" t="s">
        <v>36</v>
      </c>
      <c r="M2" s="111" t="s">
        <v>36</v>
      </c>
      <c r="N2" s="111" t="s">
        <v>36</v>
      </c>
      <c r="O2" s="111" t="s">
        <v>36</v>
      </c>
      <c r="P2" s="111" t="s">
        <v>36</v>
      </c>
      <c r="Q2" s="111" t="s">
        <v>36</v>
      </c>
      <c r="R2" s="111" t="s">
        <v>36</v>
      </c>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35.1" customHeight="1">
      <c r="A4" s="2" t="s">
        <v>37</v>
      </c>
      <c r="B4" s="3" t="s">
        <v>38</v>
      </c>
      <c r="C4" s="3" t="s">
        <v>39</v>
      </c>
      <c r="D4" s="3" t="s">
        <v>40</v>
      </c>
      <c r="E4" s="3" t="s">
        <v>41</v>
      </c>
      <c r="F4" s="3" t="s">
        <v>42</v>
      </c>
      <c r="G4" s="3" t="s">
        <v>43</v>
      </c>
      <c r="H4" s="3" t="s">
        <v>44</v>
      </c>
      <c r="I4" s="3" t="s">
        <v>45</v>
      </c>
      <c r="J4" s="3" t="s">
        <v>46</v>
      </c>
      <c r="K4" s="3" t="s">
        <v>47</v>
      </c>
      <c r="L4" s="3" t="s">
        <v>48</v>
      </c>
      <c r="M4" s="3" t="s">
        <v>49</v>
      </c>
      <c r="N4" s="3" t="s">
        <v>50</v>
      </c>
      <c r="O4" s="3" t="s">
        <v>51</v>
      </c>
      <c r="P4" s="3" t="s">
        <v>52</v>
      </c>
      <c r="Q4" s="3" t="s">
        <v>53</v>
      </c>
      <c r="R4" s="4" t="s">
        <v>54</v>
      </c>
      <c r="S4" s="1"/>
      <c r="T4" s="1"/>
      <c r="U4" s="1"/>
      <c r="V4" s="1"/>
      <c r="W4" s="1"/>
      <c r="X4" s="1"/>
      <c r="Y4" s="1"/>
      <c r="Z4" s="1"/>
    </row>
    <row r="5" spans="1:26">
      <c r="A5" s="8" t="s">
        <v>55</v>
      </c>
      <c r="B5" s="8" t="s">
        <v>56</v>
      </c>
      <c r="C5" s="8" t="s">
        <v>57</v>
      </c>
      <c r="D5" s="8" t="s">
        <v>58</v>
      </c>
      <c r="E5" s="9">
        <v>46610</v>
      </c>
      <c r="F5" s="8">
        <v>1</v>
      </c>
      <c r="G5" s="10">
        <v>0</v>
      </c>
      <c r="H5" s="10">
        <v>2.1000000000000001E-2</v>
      </c>
      <c r="I5" s="11">
        <v>2000000</v>
      </c>
      <c r="J5" s="12">
        <f>Cashflows!$O$6</f>
        <v>97.943192948090115</v>
      </c>
      <c r="K5" s="13">
        <f t="shared" ref="K5:K12" si="0">I5*J5/100</f>
        <v>1958863.8589618024</v>
      </c>
      <c r="L5" s="12">
        <f>Cashflows!$P$7</f>
        <v>1</v>
      </c>
      <c r="M5" s="14">
        <f t="shared" ref="M5:M12" si="1">L5/(1+H5)</f>
        <v>0.97943192948090119</v>
      </c>
      <c r="N5" s="12">
        <f>Cashflows!$P$8</f>
        <v>1.9185738089733622</v>
      </c>
      <c r="O5" s="15">
        <f t="shared" ref="O5:O12" si="2">M5*K5*0.0001</f>
        <v>191.85738089733621</v>
      </c>
      <c r="P5" s="16">
        <v>5</v>
      </c>
      <c r="Q5" s="17">
        <f t="shared" ref="Q5:Q12" si="3">K5/$K$13</f>
        <v>0.19152234987052691</v>
      </c>
      <c r="R5" s="18" t="str">
        <f t="shared" ref="R5:R12" si="4">IF(F5&lt;=3,"Court &lt;= 3 ans",IF(F5&lt;=7,"Moyen 4-7 ans","Long &gt; 7 ans"))</f>
        <v>Court &lt;= 3 ans</v>
      </c>
      <c r="S5" s="1"/>
      <c r="T5" s="1"/>
      <c r="U5" s="1"/>
      <c r="V5" s="1"/>
      <c r="W5" s="1"/>
      <c r="X5" s="1"/>
      <c r="Y5" s="1"/>
      <c r="Z5" s="1"/>
    </row>
    <row r="6" spans="1:26">
      <c r="A6" s="19" t="s">
        <v>59</v>
      </c>
      <c r="B6" s="19" t="s">
        <v>60</v>
      </c>
      <c r="C6" s="19" t="s">
        <v>57</v>
      </c>
      <c r="D6" s="19" t="s">
        <v>58</v>
      </c>
      <c r="E6" s="20">
        <v>47341</v>
      </c>
      <c r="F6" s="19">
        <v>3</v>
      </c>
      <c r="G6" s="21">
        <v>0.02</v>
      </c>
      <c r="H6" s="21">
        <v>2.2499999999999999E-2</v>
      </c>
      <c r="I6" s="22">
        <v>1800000</v>
      </c>
      <c r="J6" s="23">
        <f>Cashflows!$O$11</f>
        <v>99.282525783555968</v>
      </c>
      <c r="K6" s="24">
        <f t="shared" si="0"/>
        <v>1787085.4641040075</v>
      </c>
      <c r="L6" s="23">
        <f>Cashflows!$P$12</f>
        <v>2.9413297630717001</v>
      </c>
      <c r="M6" s="25">
        <f t="shared" si="1"/>
        <v>2.8766061252534967</v>
      </c>
      <c r="N6" s="23">
        <f>Cashflows!$P$13</f>
        <v>11.178681223245862</v>
      </c>
      <c r="O6" s="26">
        <f t="shared" si="2"/>
        <v>514.07409923930754</v>
      </c>
      <c r="P6" s="27">
        <v>8</v>
      </c>
      <c r="Q6" s="28">
        <f t="shared" si="3"/>
        <v>0.17472720523112925</v>
      </c>
      <c r="R6" s="29" t="str">
        <f t="shared" si="4"/>
        <v>Court &lt;= 3 ans</v>
      </c>
      <c r="S6" s="1"/>
      <c r="T6" s="1"/>
      <c r="U6" s="1"/>
      <c r="V6" s="1"/>
      <c r="W6" s="1"/>
      <c r="X6" s="1"/>
      <c r="Y6" s="1"/>
      <c r="Z6" s="1"/>
    </row>
    <row r="7" spans="1:26">
      <c r="A7" s="19" t="s">
        <v>61</v>
      </c>
      <c r="B7" s="19" t="s">
        <v>62</v>
      </c>
      <c r="C7" s="19" t="s">
        <v>57</v>
      </c>
      <c r="D7" s="19" t="s">
        <v>63</v>
      </c>
      <c r="E7" s="20">
        <v>48437</v>
      </c>
      <c r="F7" s="19">
        <v>6</v>
      </c>
      <c r="G7" s="21">
        <v>2.75E-2</v>
      </c>
      <c r="H7" s="21">
        <v>2.5000000000000001E-2</v>
      </c>
      <c r="I7" s="22">
        <v>1500000</v>
      </c>
      <c r="J7" s="23">
        <f>Cashflows!$O$16</f>
        <v>101.37703134039499</v>
      </c>
      <c r="K7" s="24">
        <f t="shared" si="0"/>
        <v>1520655.4701059249</v>
      </c>
      <c r="L7" s="23">
        <f>Cashflows!$P$17</f>
        <v>5.6157032321151554</v>
      </c>
      <c r="M7" s="25">
        <f t="shared" si="1"/>
        <v>5.4787348606001522</v>
      </c>
      <c r="N7" s="23">
        <f>Cashflows!$P$18</f>
        <v>36.576186545709014</v>
      </c>
      <c r="O7" s="26">
        <f t="shared" si="2"/>
        <v>833.12681350316439</v>
      </c>
      <c r="P7" s="27">
        <v>18</v>
      </c>
      <c r="Q7" s="28">
        <f t="shared" si="3"/>
        <v>0.14867776933334939</v>
      </c>
      <c r="R7" s="29" t="str">
        <f t="shared" si="4"/>
        <v>Moyen 4-7 ans</v>
      </c>
      <c r="S7" s="1"/>
      <c r="T7" s="1"/>
      <c r="U7" s="1"/>
      <c r="V7" s="1"/>
      <c r="W7" s="1"/>
      <c r="X7" s="1"/>
      <c r="Y7" s="1"/>
      <c r="Z7" s="1"/>
    </row>
    <row r="8" spans="1:26">
      <c r="A8" s="19" t="s">
        <v>64</v>
      </c>
      <c r="B8" s="19" t="s">
        <v>65</v>
      </c>
      <c r="C8" s="19" t="s">
        <v>66</v>
      </c>
      <c r="D8" s="19" t="s">
        <v>67</v>
      </c>
      <c r="E8" s="20">
        <v>46976</v>
      </c>
      <c r="F8" s="19">
        <v>2</v>
      </c>
      <c r="G8" s="21">
        <v>3.2000000000000001E-2</v>
      </c>
      <c r="H8" s="21">
        <v>0.03</v>
      </c>
      <c r="I8" s="22">
        <v>1200000</v>
      </c>
      <c r="J8" s="23">
        <f>Cashflows!$O$21</f>
        <v>100.38269393910831</v>
      </c>
      <c r="K8" s="24">
        <f t="shared" si="0"/>
        <v>1204592.3272692997</v>
      </c>
      <c r="L8" s="23">
        <f>Cashflows!$P$22</f>
        <v>1.9690504807692308</v>
      </c>
      <c r="M8" s="25">
        <f t="shared" si="1"/>
        <v>1.9116994958924571</v>
      </c>
      <c r="N8" s="23">
        <f>Cashflows!$P$23</f>
        <v>5.5388838939362097</v>
      </c>
      <c r="O8" s="26">
        <f t="shared" si="2"/>
        <v>230.28185447966419</v>
      </c>
      <c r="P8" s="27">
        <v>75</v>
      </c>
      <c r="Q8" s="28">
        <f t="shared" si="3"/>
        <v>0.11777559328543505</v>
      </c>
      <c r="R8" s="29" t="str">
        <f t="shared" si="4"/>
        <v>Court &lt;= 3 ans</v>
      </c>
      <c r="S8" s="1"/>
      <c r="T8" s="1"/>
      <c r="U8" s="1"/>
      <c r="V8" s="1"/>
      <c r="W8" s="1"/>
      <c r="X8" s="1"/>
      <c r="Y8" s="1"/>
      <c r="Z8" s="1"/>
    </row>
    <row r="9" spans="1:26">
      <c r="A9" s="19" t="s">
        <v>68</v>
      </c>
      <c r="B9" s="19" t="s">
        <v>69</v>
      </c>
      <c r="C9" s="19" t="s">
        <v>70</v>
      </c>
      <c r="D9" s="19" t="s">
        <v>67</v>
      </c>
      <c r="E9" s="20">
        <v>47706</v>
      </c>
      <c r="F9" s="19">
        <v>4</v>
      </c>
      <c r="G9" s="21">
        <v>3.7499999999999999E-2</v>
      </c>
      <c r="H9" s="21">
        <v>3.4000000000000002E-2</v>
      </c>
      <c r="I9" s="22">
        <v>1000000</v>
      </c>
      <c r="J9" s="23">
        <f>Cashflows!$O$26</f>
        <v>101.28863544436439</v>
      </c>
      <c r="K9" s="24">
        <f t="shared" si="0"/>
        <v>1012886.3544436438</v>
      </c>
      <c r="L9" s="23">
        <f>Cashflows!$P$27</f>
        <v>3.7898375849532697</v>
      </c>
      <c r="M9" s="25">
        <f t="shared" si="1"/>
        <v>3.6652201015021948</v>
      </c>
      <c r="N9" s="23">
        <f>Cashflows!$P$28</f>
        <v>17.399509650414146</v>
      </c>
      <c r="O9" s="26">
        <f t="shared" si="2"/>
        <v>371.24514268441209</v>
      </c>
      <c r="P9" s="27">
        <v>95</v>
      </c>
      <c r="Q9" s="28">
        <f t="shared" si="3"/>
        <v>9.9032086312344822E-2</v>
      </c>
      <c r="R9" s="29" t="str">
        <f t="shared" si="4"/>
        <v>Moyen 4-7 ans</v>
      </c>
      <c r="S9" s="1"/>
      <c r="T9" s="1"/>
      <c r="U9" s="1"/>
      <c r="V9" s="1"/>
      <c r="W9" s="1"/>
      <c r="X9" s="1"/>
      <c r="Y9" s="1"/>
      <c r="Z9" s="1"/>
    </row>
    <row r="10" spans="1:26">
      <c r="A10" s="19" t="s">
        <v>71</v>
      </c>
      <c r="B10" s="19" t="s">
        <v>72</v>
      </c>
      <c r="C10" s="19" t="s">
        <v>66</v>
      </c>
      <c r="D10" s="19" t="s">
        <v>73</v>
      </c>
      <c r="E10" s="20">
        <v>48071</v>
      </c>
      <c r="F10" s="19">
        <v>5</v>
      </c>
      <c r="G10" s="21">
        <v>4.1000000000000002E-2</v>
      </c>
      <c r="H10" s="21">
        <v>3.9E-2</v>
      </c>
      <c r="I10" s="22">
        <v>900000</v>
      </c>
      <c r="J10" s="23">
        <f>Cashflows!$O$31</f>
        <v>100.89287126267378</v>
      </c>
      <c r="K10" s="24">
        <f t="shared" si="0"/>
        <v>908035.84136406402</v>
      </c>
      <c r="L10" s="23">
        <f>Cashflows!$P$32</f>
        <v>4.6232895545211603</v>
      </c>
      <c r="M10" s="25">
        <f t="shared" si="1"/>
        <v>4.4497493306267186</v>
      </c>
      <c r="N10" s="23">
        <f>Cashflows!$P$33</f>
        <v>25.011612335655869</v>
      </c>
      <c r="O10" s="26">
        <f t="shared" si="2"/>
        <v>404.05318772948135</v>
      </c>
      <c r="P10" s="27">
        <v>145</v>
      </c>
      <c r="Q10" s="28">
        <f t="shared" si="3"/>
        <v>8.8780625212452668E-2</v>
      </c>
      <c r="R10" s="29" t="str">
        <f t="shared" si="4"/>
        <v>Moyen 4-7 ans</v>
      </c>
      <c r="S10" s="1"/>
      <c r="T10" s="1"/>
      <c r="U10" s="1"/>
      <c r="V10" s="1"/>
      <c r="W10" s="1"/>
      <c r="X10" s="1"/>
      <c r="Y10" s="1"/>
      <c r="Z10" s="1"/>
    </row>
    <row r="11" spans="1:26">
      <c r="A11" s="19" t="s">
        <v>74</v>
      </c>
      <c r="B11" s="19" t="s">
        <v>75</v>
      </c>
      <c r="C11" s="19" t="s">
        <v>57</v>
      </c>
      <c r="D11" s="19" t="s">
        <v>73</v>
      </c>
      <c r="E11" s="20">
        <v>49167</v>
      </c>
      <c r="F11" s="19">
        <v>8</v>
      </c>
      <c r="G11" s="21">
        <v>0.04</v>
      </c>
      <c r="H11" s="21">
        <v>3.5999999999999997E-2</v>
      </c>
      <c r="I11" s="22">
        <v>1100000</v>
      </c>
      <c r="J11" s="23">
        <f>Cashflows!$O$36</f>
        <v>102.73814280510638</v>
      </c>
      <c r="K11" s="24">
        <f t="shared" si="0"/>
        <v>1130119.5708561703</v>
      </c>
      <c r="L11" s="23">
        <f>Cashflows!$P$37</f>
        <v>7.017772421790915</v>
      </c>
      <c r="M11" s="25">
        <f t="shared" si="1"/>
        <v>6.7739116040452849</v>
      </c>
      <c r="N11" s="23">
        <f>Cashflows!$P$38</f>
        <v>56.196614034974502</v>
      </c>
      <c r="O11" s="26">
        <f t="shared" si="2"/>
        <v>765.53300749812888</v>
      </c>
      <c r="P11" s="27">
        <v>120</v>
      </c>
      <c r="Q11" s="28">
        <f t="shared" si="3"/>
        <v>0.11049423105889554</v>
      </c>
      <c r="R11" s="29" t="str">
        <f t="shared" si="4"/>
        <v>Long &gt; 7 ans</v>
      </c>
      <c r="S11" s="1"/>
      <c r="T11" s="1"/>
      <c r="U11" s="1"/>
      <c r="V11" s="1"/>
      <c r="W11" s="1"/>
      <c r="X11" s="1"/>
      <c r="Y11" s="1"/>
      <c r="Z11" s="1"/>
    </row>
    <row r="12" spans="1:26">
      <c r="A12" s="19" t="s">
        <v>76</v>
      </c>
      <c r="B12" s="19" t="s">
        <v>77</v>
      </c>
      <c r="C12" s="19" t="s">
        <v>66</v>
      </c>
      <c r="D12" s="19" t="s">
        <v>73</v>
      </c>
      <c r="E12" s="20">
        <v>49898</v>
      </c>
      <c r="F12" s="19">
        <v>10</v>
      </c>
      <c r="G12" s="21">
        <v>4.2999999999999997E-2</v>
      </c>
      <c r="H12" s="21">
        <v>4.2000000000000003E-2</v>
      </c>
      <c r="I12" s="22">
        <v>700000</v>
      </c>
      <c r="J12" s="23">
        <f>Cashflows!$O$41</f>
        <v>100.80307402117623</v>
      </c>
      <c r="K12" s="24">
        <f t="shared" si="0"/>
        <v>705621.51814823365</v>
      </c>
      <c r="L12" s="23">
        <f>Cashflows!$P$42</f>
        <v>8.3424859676446292</v>
      </c>
      <c r="M12" s="25">
        <f t="shared" si="1"/>
        <v>8.0062245370869753</v>
      </c>
      <c r="N12" s="23">
        <f>Cashflows!$P$43</f>
        <v>79.220004212603754</v>
      </c>
      <c r="O12" s="26">
        <f t="shared" si="2"/>
        <v>564.93643124949506</v>
      </c>
      <c r="P12" s="27">
        <v>175</v>
      </c>
      <c r="Q12" s="28">
        <f t="shared" si="3"/>
        <v>6.8990139695866232E-2</v>
      </c>
      <c r="R12" s="29" t="str">
        <f t="shared" si="4"/>
        <v>Long &gt; 7 ans</v>
      </c>
      <c r="S12" s="1"/>
      <c r="T12" s="1"/>
      <c r="U12" s="1"/>
      <c r="V12" s="1"/>
      <c r="W12" s="1"/>
      <c r="X12" s="1"/>
      <c r="Y12" s="1"/>
      <c r="Z12" s="1"/>
    </row>
    <row r="13" spans="1:26">
      <c r="A13" s="159" t="s">
        <v>78</v>
      </c>
      <c r="B13" s="159" t="s">
        <v>78</v>
      </c>
      <c r="C13" s="159" t="s">
        <v>78</v>
      </c>
      <c r="D13" s="159" t="s">
        <v>78</v>
      </c>
      <c r="E13" s="159" t="s">
        <v>78</v>
      </c>
      <c r="F13" s="159" t="s">
        <v>78</v>
      </c>
      <c r="G13" s="159" t="s">
        <v>78</v>
      </c>
      <c r="H13" s="159" t="s">
        <v>78</v>
      </c>
      <c r="I13" s="159" t="s">
        <v>78</v>
      </c>
      <c r="J13" s="159" t="s">
        <v>78</v>
      </c>
      <c r="K13" s="31">
        <f>SUM(K5:K12)</f>
        <v>10227860.405253148</v>
      </c>
      <c r="L13" s="34">
        <f>SUMPRODUCT(L5:L12,Q5:Q12)</f>
        <v>3.9090356972278815</v>
      </c>
      <c r="M13" s="34">
        <f>SUMPRODUCT(M5:M12,Q5:Q12)</f>
        <v>3.7887766979012434</v>
      </c>
      <c r="N13" s="34">
        <f>SUMPRODUCT(N5:N12,Q5:Q12)</f>
        <v>24.029537791152038</v>
      </c>
      <c r="O13" s="32">
        <f>SUM(O5:O12)</f>
        <v>3875.1079172809896</v>
      </c>
      <c r="P13" s="30"/>
      <c r="Q13" s="33">
        <f>SUM(Q5:Q12)</f>
        <v>0.99999999999999989</v>
      </c>
      <c r="R13" s="30"/>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
      <c r="A16" s="149" t="s">
        <v>79</v>
      </c>
      <c r="B16" s="149" t="s">
        <v>79</v>
      </c>
      <c r="C16" s="149" t="s">
        <v>79</v>
      </c>
      <c r="D16" s="149" t="s">
        <v>79</v>
      </c>
      <c r="E16" s="1"/>
      <c r="F16" s="149" t="s">
        <v>80</v>
      </c>
      <c r="G16" s="149" t="s">
        <v>80</v>
      </c>
      <c r="H16" s="149" t="s">
        <v>80</v>
      </c>
      <c r="I16" s="149" t="s">
        <v>80</v>
      </c>
      <c r="J16" s="1"/>
      <c r="K16" s="1"/>
      <c r="L16" s="1"/>
      <c r="M16" s="1"/>
      <c r="N16" s="1"/>
      <c r="O16" s="1"/>
      <c r="P16" s="1"/>
      <c r="Q16" s="1"/>
      <c r="R16" s="1"/>
      <c r="S16" s="1"/>
      <c r="T16" s="1"/>
      <c r="U16" s="1"/>
      <c r="V16" s="1"/>
      <c r="W16" s="1"/>
      <c r="X16" s="1"/>
      <c r="Y16" s="1"/>
      <c r="Z16" s="1"/>
    </row>
    <row r="17" spans="1:26">
      <c r="A17" s="2" t="s">
        <v>40</v>
      </c>
      <c r="B17" s="4" t="s">
        <v>47</v>
      </c>
      <c r="C17" s="1"/>
      <c r="D17" s="1"/>
      <c r="E17" s="1"/>
      <c r="F17" s="2" t="s">
        <v>81</v>
      </c>
      <c r="G17" s="4" t="s">
        <v>51</v>
      </c>
      <c r="H17" s="1"/>
      <c r="I17" s="1"/>
      <c r="J17" s="1"/>
      <c r="K17" s="1"/>
      <c r="L17" s="1"/>
      <c r="M17" s="1"/>
      <c r="N17" s="1"/>
      <c r="O17" s="1"/>
      <c r="P17" s="1"/>
      <c r="Q17" s="1"/>
      <c r="R17" s="1"/>
      <c r="S17" s="1"/>
      <c r="T17" s="1"/>
      <c r="U17" s="1"/>
      <c r="V17" s="1"/>
      <c r="W17" s="1"/>
      <c r="X17" s="1"/>
      <c r="Y17" s="1"/>
      <c r="Z17" s="1"/>
    </row>
    <row r="18" spans="1:26">
      <c r="A18" s="1" t="s">
        <v>58</v>
      </c>
      <c r="B18" s="5">
        <f>SUMIF($D$5:$D$12,A18,$K$5:$K$12)</f>
        <v>3745949.3230658099</v>
      </c>
      <c r="C18" s="1"/>
      <c r="D18" s="1"/>
      <c r="E18" s="1"/>
      <c r="F18" s="1" t="s">
        <v>82</v>
      </c>
      <c r="G18" s="6">
        <f>SUMIF($R$5:$R$12,F18,$O$5:$O$12)</f>
        <v>936.21333461630798</v>
      </c>
      <c r="H18" s="1"/>
      <c r="I18" s="1"/>
      <c r="J18" s="1"/>
      <c r="K18" s="1"/>
      <c r="L18" s="1"/>
      <c r="M18" s="1"/>
      <c r="N18" s="1"/>
      <c r="O18" s="1"/>
      <c r="P18" s="1"/>
      <c r="Q18" s="1"/>
      <c r="R18" s="1"/>
      <c r="S18" s="1"/>
      <c r="T18" s="1"/>
      <c r="U18" s="1"/>
      <c r="V18" s="1"/>
      <c r="W18" s="1"/>
      <c r="X18" s="1"/>
      <c r="Y18" s="1"/>
      <c r="Z18" s="1"/>
    </row>
    <row r="19" spans="1:26">
      <c r="A19" s="1" t="s">
        <v>63</v>
      </c>
      <c r="B19" s="5">
        <f>SUMIF($D$5:$D$12,A19,$K$5:$K$12)</f>
        <v>1520655.4701059249</v>
      </c>
      <c r="C19" s="1"/>
      <c r="D19" s="1"/>
      <c r="E19" s="1"/>
      <c r="F19" s="1" t="s">
        <v>83</v>
      </c>
      <c r="G19" s="6">
        <f>SUMIF($R$5:$R$12,F19,$O$5:$O$12)</f>
        <v>1608.4251439170578</v>
      </c>
      <c r="H19" s="1"/>
      <c r="I19" s="1"/>
      <c r="J19" s="1"/>
      <c r="K19" s="1"/>
      <c r="L19" s="1"/>
      <c r="M19" s="1"/>
      <c r="N19" s="1"/>
      <c r="O19" s="1"/>
      <c r="P19" s="1"/>
      <c r="Q19" s="1"/>
      <c r="R19" s="1"/>
      <c r="S19" s="1"/>
      <c r="T19" s="1"/>
      <c r="U19" s="1"/>
      <c r="V19" s="1"/>
      <c r="W19" s="1"/>
      <c r="X19" s="1"/>
      <c r="Y19" s="1"/>
      <c r="Z19" s="1"/>
    </row>
    <row r="20" spans="1:26">
      <c r="A20" s="1" t="s">
        <v>67</v>
      </c>
      <c r="B20" s="5">
        <f>SUMIF($D$5:$D$12,A20,$K$5:$K$12)</f>
        <v>2217478.6817129436</v>
      </c>
      <c r="C20" s="1"/>
      <c r="D20" s="1"/>
      <c r="E20" s="1"/>
      <c r="F20" s="1" t="s">
        <v>84</v>
      </c>
      <c r="G20" s="6">
        <f>SUMIF($R$5:$R$12,F20,$O$5:$O$12)</f>
        <v>1330.4694387476238</v>
      </c>
      <c r="H20" s="1"/>
      <c r="I20" s="1"/>
      <c r="J20" s="1"/>
      <c r="K20" s="1"/>
      <c r="L20" s="1"/>
      <c r="M20" s="1"/>
      <c r="N20" s="1"/>
      <c r="O20" s="1"/>
      <c r="P20" s="1"/>
      <c r="Q20" s="1"/>
      <c r="R20" s="1"/>
      <c r="S20" s="1"/>
      <c r="T20" s="1"/>
      <c r="U20" s="1"/>
      <c r="V20" s="1"/>
      <c r="W20" s="1"/>
      <c r="X20" s="1"/>
      <c r="Y20" s="1"/>
      <c r="Z20" s="1"/>
    </row>
    <row r="21" spans="1:26">
      <c r="A21" s="1" t="s">
        <v>73</v>
      </c>
      <c r="B21" s="5">
        <f>SUMIF($D$5:$D$12,A21,$K$5:$K$12)</f>
        <v>2743776.9303684682</v>
      </c>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5">
    <mergeCell ref="A1:R1"/>
    <mergeCell ref="A2:R2"/>
    <mergeCell ref="A13:J13"/>
    <mergeCell ref="A16:D16"/>
    <mergeCell ref="F16:I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00"/>
  <sheetViews>
    <sheetView showGridLines="0" workbookViewId="0">
      <selection sqref="A1:P1"/>
    </sheetView>
  </sheetViews>
  <sheetFormatPr baseColWidth="10" defaultColWidth="9" defaultRowHeight="14.25"/>
  <cols>
    <col min="1" max="1" width="9" customWidth="1"/>
    <col min="2" max="2" width="18" customWidth="1"/>
    <col min="3" max="4" width="11" customWidth="1"/>
    <col min="5" max="14" width="9" customWidth="1"/>
    <col min="15" max="16" width="14" customWidth="1"/>
  </cols>
  <sheetData>
    <row r="1" spans="1:26" ht="23.25">
      <c r="A1" s="110" t="s">
        <v>85</v>
      </c>
      <c r="B1" s="110" t="s">
        <v>85</v>
      </c>
      <c r="C1" s="110" t="s">
        <v>85</v>
      </c>
      <c r="D1" s="110" t="s">
        <v>85</v>
      </c>
      <c r="E1" s="110" t="s">
        <v>85</v>
      </c>
      <c r="F1" s="110" t="s">
        <v>85</v>
      </c>
      <c r="G1" s="110" t="s">
        <v>85</v>
      </c>
      <c r="H1" s="110" t="s">
        <v>85</v>
      </c>
      <c r="I1" s="110" t="s">
        <v>85</v>
      </c>
      <c r="J1" s="110" t="s">
        <v>85</v>
      </c>
      <c r="K1" s="110" t="s">
        <v>85</v>
      </c>
      <c r="L1" s="110" t="s">
        <v>85</v>
      </c>
      <c r="M1" s="110" t="s">
        <v>85</v>
      </c>
      <c r="N1" s="110" t="s">
        <v>85</v>
      </c>
      <c r="O1" s="110" t="s">
        <v>85</v>
      </c>
      <c r="P1" s="110" t="s">
        <v>85</v>
      </c>
      <c r="Q1" s="1"/>
      <c r="R1" s="1"/>
      <c r="S1" s="1"/>
      <c r="T1" s="1"/>
      <c r="U1" s="1"/>
      <c r="V1" s="1"/>
      <c r="W1" s="1"/>
      <c r="X1" s="1"/>
      <c r="Y1" s="1"/>
      <c r="Z1" s="1"/>
    </row>
    <row r="2" spans="1:26">
      <c r="A2" s="111" t="s">
        <v>86</v>
      </c>
      <c r="B2" s="111" t="s">
        <v>86</v>
      </c>
      <c r="C2" s="111" t="s">
        <v>86</v>
      </c>
      <c r="D2" s="111" t="s">
        <v>86</v>
      </c>
      <c r="E2" s="111" t="s">
        <v>86</v>
      </c>
      <c r="F2" s="111" t="s">
        <v>86</v>
      </c>
      <c r="G2" s="111" t="s">
        <v>86</v>
      </c>
      <c r="H2" s="111" t="s">
        <v>86</v>
      </c>
      <c r="I2" s="111" t="s">
        <v>86</v>
      </c>
      <c r="J2" s="111" t="s">
        <v>86</v>
      </c>
      <c r="K2" s="111" t="s">
        <v>86</v>
      </c>
      <c r="L2" s="111" t="s">
        <v>86</v>
      </c>
      <c r="M2" s="111" t="s">
        <v>86</v>
      </c>
      <c r="N2" s="111" t="s">
        <v>86</v>
      </c>
      <c r="O2" s="111" t="s">
        <v>86</v>
      </c>
      <c r="P2" s="111" t="s">
        <v>86</v>
      </c>
      <c r="Q2" s="1"/>
      <c r="R2" s="1"/>
      <c r="S2" s="1"/>
      <c r="T2" s="1"/>
      <c r="U2" s="1"/>
      <c r="V2" s="1"/>
      <c r="W2" s="1"/>
      <c r="X2" s="1"/>
      <c r="Y2" s="1"/>
      <c r="Z2" s="1"/>
    </row>
    <row r="3" spans="1:26">
      <c r="A3" s="2" t="s">
        <v>87</v>
      </c>
      <c r="B3" s="3" t="s">
        <v>88</v>
      </c>
      <c r="C3" s="3" t="s">
        <v>89</v>
      </c>
      <c r="D3" s="3" t="s">
        <v>44</v>
      </c>
      <c r="E3" s="35">
        <v>1</v>
      </c>
      <c r="F3" s="35">
        <v>2</v>
      </c>
      <c r="G3" s="35">
        <v>3</v>
      </c>
      <c r="H3" s="35">
        <v>4</v>
      </c>
      <c r="I3" s="35">
        <v>5</v>
      </c>
      <c r="J3" s="35">
        <v>6</v>
      </c>
      <c r="K3" s="35">
        <v>7</v>
      </c>
      <c r="L3" s="35">
        <v>8</v>
      </c>
      <c r="M3" s="35">
        <v>9</v>
      </c>
      <c r="N3" s="35">
        <v>10</v>
      </c>
      <c r="O3" s="3" t="s">
        <v>90</v>
      </c>
      <c r="P3" s="4" t="s">
        <v>7</v>
      </c>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38" t="s">
        <v>55</v>
      </c>
      <c r="B5" s="38" t="s">
        <v>91</v>
      </c>
      <c r="C5" s="38">
        <v>1</v>
      </c>
      <c r="D5" s="39">
        <v>2.1000000000000001E-2</v>
      </c>
      <c r="E5" s="45">
        <f>IF(E$3&lt;=$C5,IF(E$3=$C5,Portefeuille!$G$5*100+100,Portefeuille!$G$5*100),0)</f>
        <v>100</v>
      </c>
      <c r="F5" s="45">
        <f>IF(F$3&lt;=$C5,IF(F$3=$C5,Portefeuille!$G$5*100+100,Portefeuille!$G$5*100),0)</f>
        <v>0</v>
      </c>
      <c r="G5" s="45">
        <f>IF(G$3&lt;=$C5,IF(G$3=$C5,Portefeuille!$G$5*100+100,Portefeuille!$G$5*100),0)</f>
        <v>0</v>
      </c>
      <c r="H5" s="45">
        <f>IF(H$3&lt;=$C5,IF(H$3=$C5,Portefeuille!$G$5*100+100,Portefeuille!$G$5*100),0)</f>
        <v>0</v>
      </c>
      <c r="I5" s="45">
        <f>IF(I$3&lt;=$C5,IF(I$3=$C5,Portefeuille!$G$5*100+100,Portefeuille!$G$5*100),0)</f>
        <v>0</v>
      </c>
      <c r="J5" s="45">
        <f>IF(J$3&lt;=$C5,IF(J$3=$C5,Portefeuille!$G$5*100+100,Portefeuille!$G$5*100),0)</f>
        <v>0</v>
      </c>
      <c r="K5" s="45">
        <f>IF(K$3&lt;=$C5,IF(K$3=$C5,Portefeuille!$G$5*100+100,Portefeuille!$G$5*100),0)</f>
        <v>0</v>
      </c>
      <c r="L5" s="45">
        <f>IF(L$3&lt;=$C5,IF(L$3=$C5,Portefeuille!$G$5*100+100,Portefeuille!$G$5*100),0)</f>
        <v>0</v>
      </c>
      <c r="M5" s="45">
        <f>IF(M$3&lt;=$C5,IF(M$3=$C5,Portefeuille!$G$5*100+100,Portefeuille!$G$5*100),0)</f>
        <v>0</v>
      </c>
      <c r="N5" s="45">
        <f>IF(N$3&lt;=$C5,IF(N$3=$C5,Portefeuille!$G$5*100+100,Portefeuille!$G$5*100),0)</f>
        <v>0</v>
      </c>
      <c r="O5" s="42">
        <f>SUM(E5:N5)</f>
        <v>100</v>
      </c>
      <c r="P5" s="42" t="s">
        <v>92</v>
      </c>
      <c r="Q5" s="1"/>
      <c r="R5" s="1"/>
      <c r="S5" s="1"/>
      <c r="T5" s="1"/>
      <c r="U5" s="1"/>
      <c r="V5" s="1"/>
      <c r="W5" s="1"/>
      <c r="X5" s="1"/>
      <c r="Y5" s="1"/>
      <c r="Z5" s="1"/>
    </row>
    <row r="6" spans="1:26">
      <c r="A6" s="36" t="s">
        <v>55</v>
      </c>
      <c r="B6" s="36" t="s">
        <v>93</v>
      </c>
      <c r="C6" s="36">
        <v>1</v>
      </c>
      <c r="D6" s="40">
        <v>2.1000000000000001E-2</v>
      </c>
      <c r="E6" s="43">
        <f t="shared" ref="E6:N6" si="0">E5/(1+$D6)^E$3</f>
        <v>97.943192948090115</v>
      </c>
      <c r="F6" s="43">
        <f t="shared" si="0"/>
        <v>0</v>
      </c>
      <c r="G6" s="43">
        <f t="shared" si="0"/>
        <v>0</v>
      </c>
      <c r="H6" s="43">
        <f t="shared" si="0"/>
        <v>0</v>
      </c>
      <c r="I6" s="43">
        <f t="shared" si="0"/>
        <v>0</v>
      </c>
      <c r="J6" s="43">
        <f t="shared" si="0"/>
        <v>0</v>
      </c>
      <c r="K6" s="43">
        <f t="shared" si="0"/>
        <v>0</v>
      </c>
      <c r="L6" s="43">
        <f t="shared" si="0"/>
        <v>0</v>
      </c>
      <c r="M6" s="43">
        <f t="shared" si="0"/>
        <v>0</v>
      </c>
      <c r="N6" s="43">
        <f t="shared" si="0"/>
        <v>0</v>
      </c>
      <c r="O6" s="43">
        <f>SUM(E6:N6)</f>
        <v>97.943192948090115</v>
      </c>
      <c r="P6" s="43">
        <f>O6</f>
        <v>97.943192948090115</v>
      </c>
      <c r="Q6" s="1"/>
      <c r="R6" s="1"/>
      <c r="S6" s="1"/>
      <c r="T6" s="1"/>
      <c r="U6" s="1"/>
      <c r="V6" s="1"/>
      <c r="W6" s="1"/>
      <c r="X6" s="1"/>
      <c r="Y6" s="1"/>
      <c r="Z6" s="1"/>
    </row>
    <row r="7" spans="1:26">
      <c r="A7" s="36" t="s">
        <v>55</v>
      </c>
      <c r="B7" s="36" t="s">
        <v>94</v>
      </c>
      <c r="C7" s="36">
        <v>1</v>
      </c>
      <c r="D7" s="40">
        <v>2.1000000000000001E-2</v>
      </c>
      <c r="E7" s="43">
        <f t="shared" ref="E7:N7" si="1">E$3*E6</f>
        <v>97.943192948090115</v>
      </c>
      <c r="F7" s="43">
        <f t="shared" si="1"/>
        <v>0</v>
      </c>
      <c r="G7" s="43">
        <f t="shared" si="1"/>
        <v>0</v>
      </c>
      <c r="H7" s="43">
        <f t="shared" si="1"/>
        <v>0</v>
      </c>
      <c r="I7" s="43">
        <f t="shared" si="1"/>
        <v>0</v>
      </c>
      <c r="J7" s="43">
        <f t="shared" si="1"/>
        <v>0</v>
      </c>
      <c r="K7" s="43">
        <f t="shared" si="1"/>
        <v>0</v>
      </c>
      <c r="L7" s="43">
        <f t="shared" si="1"/>
        <v>0</v>
      </c>
      <c r="M7" s="43">
        <f t="shared" si="1"/>
        <v>0</v>
      </c>
      <c r="N7" s="43">
        <f t="shared" si="1"/>
        <v>0</v>
      </c>
      <c r="O7" s="43">
        <f>SUM(E7:N7)</f>
        <v>97.943192948090115</v>
      </c>
      <c r="P7" s="43">
        <f>O7/O6</f>
        <v>1</v>
      </c>
      <c r="Q7" s="1"/>
      <c r="R7" s="1"/>
      <c r="S7" s="1"/>
      <c r="T7" s="1"/>
      <c r="U7" s="1"/>
      <c r="V7" s="1"/>
      <c r="W7" s="1"/>
      <c r="X7" s="1"/>
      <c r="Y7" s="1"/>
      <c r="Z7" s="1"/>
    </row>
    <row r="8" spans="1:26">
      <c r="A8" s="37" t="s">
        <v>55</v>
      </c>
      <c r="B8" s="37" t="s">
        <v>95</v>
      </c>
      <c r="C8" s="37">
        <v>1</v>
      </c>
      <c r="D8" s="41">
        <v>2.1000000000000001E-2</v>
      </c>
      <c r="E8" s="44">
        <f t="shared" ref="E8:N8" si="2">E$3*(E$3+1)*E6</f>
        <v>195.88638589618023</v>
      </c>
      <c r="F8" s="44">
        <f t="shared" si="2"/>
        <v>0</v>
      </c>
      <c r="G8" s="44">
        <f t="shared" si="2"/>
        <v>0</v>
      </c>
      <c r="H8" s="44">
        <f t="shared" si="2"/>
        <v>0</v>
      </c>
      <c r="I8" s="44">
        <f t="shared" si="2"/>
        <v>0</v>
      </c>
      <c r="J8" s="44">
        <f t="shared" si="2"/>
        <v>0</v>
      </c>
      <c r="K8" s="44">
        <f t="shared" si="2"/>
        <v>0</v>
      </c>
      <c r="L8" s="44">
        <f t="shared" si="2"/>
        <v>0</v>
      </c>
      <c r="M8" s="44">
        <f t="shared" si="2"/>
        <v>0</v>
      </c>
      <c r="N8" s="44">
        <f t="shared" si="2"/>
        <v>0</v>
      </c>
      <c r="O8" s="44">
        <f>SUM(E8:N8)</f>
        <v>195.88638589618023</v>
      </c>
      <c r="P8" s="44">
        <f>O8/(O6*(1+D8)^2)</f>
        <v>1.9185738089733622</v>
      </c>
      <c r="Q8" s="1"/>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38" t="s">
        <v>59</v>
      </c>
      <c r="B10" s="38" t="s">
        <v>91</v>
      </c>
      <c r="C10" s="38">
        <v>3</v>
      </c>
      <c r="D10" s="39">
        <v>2.2499999999999999E-2</v>
      </c>
      <c r="E10" s="45">
        <f>IF(E$3&lt;=$C10,IF(E$3=$C10,Portefeuille!$G$6*100+100,Portefeuille!$G$6*100),0)</f>
        <v>2</v>
      </c>
      <c r="F10" s="45">
        <f>IF(F$3&lt;=$C10,IF(F$3=$C10,Portefeuille!$G$6*100+100,Portefeuille!$G$6*100),0)</f>
        <v>2</v>
      </c>
      <c r="G10" s="45">
        <f>IF(G$3&lt;=$C10,IF(G$3=$C10,Portefeuille!$G$6*100+100,Portefeuille!$G$6*100),0)</f>
        <v>102</v>
      </c>
      <c r="H10" s="45">
        <f>IF(H$3&lt;=$C10,IF(H$3=$C10,Portefeuille!$G$6*100+100,Portefeuille!$G$6*100),0)</f>
        <v>0</v>
      </c>
      <c r="I10" s="45">
        <f>IF(I$3&lt;=$C10,IF(I$3=$C10,Portefeuille!$G$6*100+100,Portefeuille!$G$6*100),0)</f>
        <v>0</v>
      </c>
      <c r="J10" s="45">
        <f>IF(J$3&lt;=$C10,IF(J$3=$C10,Portefeuille!$G$6*100+100,Portefeuille!$G$6*100),0)</f>
        <v>0</v>
      </c>
      <c r="K10" s="45">
        <f>IF(K$3&lt;=$C10,IF(K$3=$C10,Portefeuille!$G$6*100+100,Portefeuille!$G$6*100),0)</f>
        <v>0</v>
      </c>
      <c r="L10" s="45">
        <f>IF(L$3&lt;=$C10,IF(L$3=$C10,Portefeuille!$G$6*100+100,Portefeuille!$G$6*100),0)</f>
        <v>0</v>
      </c>
      <c r="M10" s="45">
        <f>IF(M$3&lt;=$C10,IF(M$3=$C10,Portefeuille!$G$6*100+100,Portefeuille!$G$6*100),0)</f>
        <v>0</v>
      </c>
      <c r="N10" s="45">
        <f>IF(N$3&lt;=$C10,IF(N$3=$C10,Portefeuille!$G$6*100+100,Portefeuille!$G$6*100),0)</f>
        <v>0</v>
      </c>
      <c r="O10" s="42">
        <f>SUM(E10:N10)</f>
        <v>106</v>
      </c>
      <c r="P10" s="42" t="s">
        <v>92</v>
      </c>
      <c r="Q10" s="1"/>
      <c r="R10" s="1"/>
      <c r="S10" s="1"/>
      <c r="T10" s="1"/>
      <c r="U10" s="1"/>
      <c r="V10" s="1"/>
      <c r="W10" s="1"/>
      <c r="X10" s="1"/>
      <c r="Y10" s="1"/>
      <c r="Z10" s="1"/>
    </row>
    <row r="11" spans="1:26">
      <c r="A11" s="36" t="s">
        <v>59</v>
      </c>
      <c r="B11" s="36" t="s">
        <v>93</v>
      </c>
      <c r="C11" s="36">
        <v>3</v>
      </c>
      <c r="D11" s="40">
        <v>2.2499999999999999E-2</v>
      </c>
      <c r="E11" s="43">
        <f t="shared" ref="E11:N11" si="3">E10/(1+$D11)^E$3</f>
        <v>1.9559902200488999</v>
      </c>
      <c r="F11" s="43">
        <f t="shared" si="3"/>
        <v>1.9129488704634718</v>
      </c>
      <c r="G11" s="43">
        <f t="shared" si="3"/>
        <v>95.413586693043598</v>
      </c>
      <c r="H11" s="43">
        <f t="shared" si="3"/>
        <v>0</v>
      </c>
      <c r="I11" s="43">
        <f t="shared" si="3"/>
        <v>0</v>
      </c>
      <c r="J11" s="43">
        <f t="shared" si="3"/>
        <v>0</v>
      </c>
      <c r="K11" s="43">
        <f t="shared" si="3"/>
        <v>0</v>
      </c>
      <c r="L11" s="43">
        <f t="shared" si="3"/>
        <v>0</v>
      </c>
      <c r="M11" s="43">
        <f t="shared" si="3"/>
        <v>0</v>
      </c>
      <c r="N11" s="43">
        <f t="shared" si="3"/>
        <v>0</v>
      </c>
      <c r="O11" s="43">
        <f>SUM(E11:N11)</f>
        <v>99.282525783555968</v>
      </c>
      <c r="P11" s="43">
        <f>O11</f>
        <v>99.282525783555968</v>
      </c>
      <c r="Q11" s="1"/>
      <c r="R11" s="1"/>
      <c r="S11" s="1"/>
      <c r="T11" s="1"/>
      <c r="U11" s="1"/>
      <c r="V11" s="1"/>
      <c r="W11" s="1"/>
      <c r="X11" s="1"/>
      <c r="Y11" s="1"/>
      <c r="Z11" s="1"/>
    </row>
    <row r="12" spans="1:26">
      <c r="A12" s="36" t="s">
        <v>59</v>
      </c>
      <c r="B12" s="36" t="s">
        <v>94</v>
      </c>
      <c r="C12" s="36">
        <v>3</v>
      </c>
      <c r="D12" s="40">
        <v>2.2499999999999999E-2</v>
      </c>
      <c r="E12" s="43">
        <f t="shared" ref="E12:N12" si="4">E$3*E11</f>
        <v>1.9559902200488999</v>
      </c>
      <c r="F12" s="43">
        <f t="shared" si="4"/>
        <v>3.8258977409269437</v>
      </c>
      <c r="G12" s="43">
        <f t="shared" si="4"/>
        <v>286.24076007913078</v>
      </c>
      <c r="H12" s="43">
        <f t="shared" si="4"/>
        <v>0</v>
      </c>
      <c r="I12" s="43">
        <f t="shared" si="4"/>
        <v>0</v>
      </c>
      <c r="J12" s="43">
        <f t="shared" si="4"/>
        <v>0</v>
      </c>
      <c r="K12" s="43">
        <f t="shared" si="4"/>
        <v>0</v>
      </c>
      <c r="L12" s="43">
        <f t="shared" si="4"/>
        <v>0</v>
      </c>
      <c r="M12" s="43">
        <f t="shared" si="4"/>
        <v>0</v>
      </c>
      <c r="N12" s="43">
        <f t="shared" si="4"/>
        <v>0</v>
      </c>
      <c r="O12" s="43">
        <f>SUM(E12:N12)</f>
        <v>292.02264804010662</v>
      </c>
      <c r="P12" s="43">
        <f>O12/O11</f>
        <v>2.9413297630717001</v>
      </c>
      <c r="Q12" s="1"/>
      <c r="R12" s="1"/>
      <c r="S12" s="1"/>
      <c r="T12" s="1"/>
      <c r="U12" s="1"/>
      <c r="V12" s="1"/>
      <c r="W12" s="1"/>
      <c r="X12" s="1"/>
      <c r="Y12" s="1"/>
      <c r="Z12" s="1"/>
    </row>
    <row r="13" spans="1:26">
      <c r="A13" s="37" t="s">
        <v>59</v>
      </c>
      <c r="B13" s="37" t="s">
        <v>95</v>
      </c>
      <c r="C13" s="37">
        <v>3</v>
      </c>
      <c r="D13" s="41">
        <v>2.2499999999999999E-2</v>
      </c>
      <c r="E13" s="44">
        <f t="shared" ref="E13:N13" si="5">E$3*(E$3+1)*E11</f>
        <v>3.9119804400977998</v>
      </c>
      <c r="F13" s="44">
        <f t="shared" si="5"/>
        <v>11.477693222780831</v>
      </c>
      <c r="G13" s="44">
        <f t="shared" si="5"/>
        <v>1144.9630403165231</v>
      </c>
      <c r="H13" s="44">
        <f t="shared" si="5"/>
        <v>0</v>
      </c>
      <c r="I13" s="44">
        <f t="shared" si="5"/>
        <v>0</v>
      </c>
      <c r="J13" s="44">
        <f t="shared" si="5"/>
        <v>0</v>
      </c>
      <c r="K13" s="44">
        <f t="shared" si="5"/>
        <v>0</v>
      </c>
      <c r="L13" s="44">
        <f t="shared" si="5"/>
        <v>0</v>
      </c>
      <c r="M13" s="44">
        <f t="shared" si="5"/>
        <v>0</v>
      </c>
      <c r="N13" s="44">
        <f t="shared" si="5"/>
        <v>0</v>
      </c>
      <c r="O13" s="44">
        <f>SUM(E13:N13)</f>
        <v>1160.3527139794016</v>
      </c>
      <c r="P13" s="44">
        <f>O13/(O11*(1+D13)^2)</f>
        <v>11.178681223245862</v>
      </c>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38" t="s">
        <v>61</v>
      </c>
      <c r="B15" s="38" t="s">
        <v>91</v>
      </c>
      <c r="C15" s="38">
        <v>6</v>
      </c>
      <c r="D15" s="39">
        <v>2.5000000000000001E-2</v>
      </c>
      <c r="E15" s="45">
        <f>IF(E$3&lt;=$C15,IF(E$3=$C15,Portefeuille!$G$7*100+100,Portefeuille!$G$7*100),0)</f>
        <v>2.75</v>
      </c>
      <c r="F15" s="45">
        <f>IF(F$3&lt;=$C15,IF(F$3=$C15,Portefeuille!$G$7*100+100,Portefeuille!$G$7*100),0)</f>
        <v>2.75</v>
      </c>
      <c r="G15" s="45">
        <f>IF(G$3&lt;=$C15,IF(G$3=$C15,Portefeuille!$G$7*100+100,Portefeuille!$G$7*100),0)</f>
        <v>2.75</v>
      </c>
      <c r="H15" s="45">
        <f>IF(H$3&lt;=$C15,IF(H$3=$C15,Portefeuille!$G$7*100+100,Portefeuille!$G$7*100),0)</f>
        <v>2.75</v>
      </c>
      <c r="I15" s="45">
        <f>IF(I$3&lt;=$C15,IF(I$3=$C15,Portefeuille!$G$7*100+100,Portefeuille!$G$7*100),0)</f>
        <v>2.75</v>
      </c>
      <c r="J15" s="45">
        <f>IF(J$3&lt;=$C15,IF(J$3=$C15,Portefeuille!$G$7*100+100,Portefeuille!$G$7*100),0)</f>
        <v>102.75</v>
      </c>
      <c r="K15" s="45">
        <f>IF(K$3&lt;=$C15,IF(K$3=$C15,Portefeuille!$G$7*100+100,Portefeuille!$G$7*100),0)</f>
        <v>0</v>
      </c>
      <c r="L15" s="45">
        <f>IF(L$3&lt;=$C15,IF(L$3=$C15,Portefeuille!$G$7*100+100,Portefeuille!$G$7*100),0)</f>
        <v>0</v>
      </c>
      <c r="M15" s="45">
        <f>IF(M$3&lt;=$C15,IF(M$3=$C15,Portefeuille!$G$7*100+100,Portefeuille!$G$7*100),0)</f>
        <v>0</v>
      </c>
      <c r="N15" s="45">
        <f>IF(N$3&lt;=$C15,IF(N$3=$C15,Portefeuille!$G$7*100+100,Portefeuille!$G$7*100),0)</f>
        <v>0</v>
      </c>
      <c r="O15" s="42">
        <f>SUM(E15:N15)</f>
        <v>116.5</v>
      </c>
      <c r="P15" s="42" t="s">
        <v>92</v>
      </c>
      <c r="Q15" s="1"/>
      <c r="R15" s="1"/>
      <c r="S15" s="1"/>
      <c r="T15" s="1"/>
      <c r="U15" s="1"/>
      <c r="V15" s="1"/>
      <c r="W15" s="1"/>
      <c r="X15" s="1"/>
      <c r="Y15" s="1"/>
      <c r="Z15" s="1"/>
    </row>
    <row r="16" spans="1:26">
      <c r="A16" s="36" t="s">
        <v>61</v>
      </c>
      <c r="B16" s="36" t="s">
        <v>93</v>
      </c>
      <c r="C16" s="36">
        <v>6</v>
      </c>
      <c r="D16" s="40">
        <v>2.5000000000000001E-2</v>
      </c>
      <c r="E16" s="43">
        <f t="shared" ref="E16:N16" si="6">E15/(1+$D16)^E$3</f>
        <v>2.6829268292682928</v>
      </c>
      <c r="F16" s="43">
        <f t="shared" si="6"/>
        <v>2.6174895895300416</v>
      </c>
      <c r="G16" s="43">
        <f t="shared" si="6"/>
        <v>2.5536483800293093</v>
      </c>
      <c r="H16" s="43">
        <f t="shared" si="6"/>
        <v>2.4913642731993262</v>
      </c>
      <c r="I16" s="43">
        <f t="shared" si="6"/>
        <v>2.4305992909261724</v>
      </c>
      <c r="J16" s="43">
        <f t="shared" si="6"/>
        <v>88.601002977441851</v>
      </c>
      <c r="K16" s="43">
        <f t="shared" si="6"/>
        <v>0</v>
      </c>
      <c r="L16" s="43">
        <f t="shared" si="6"/>
        <v>0</v>
      </c>
      <c r="M16" s="43">
        <f t="shared" si="6"/>
        <v>0</v>
      </c>
      <c r="N16" s="43">
        <f t="shared" si="6"/>
        <v>0</v>
      </c>
      <c r="O16" s="43">
        <f>SUM(E16:N16)</f>
        <v>101.37703134039499</v>
      </c>
      <c r="P16" s="43">
        <f>O16</f>
        <v>101.37703134039499</v>
      </c>
      <c r="Q16" s="1"/>
      <c r="R16" s="1"/>
      <c r="S16" s="1"/>
      <c r="T16" s="1"/>
      <c r="U16" s="1"/>
      <c r="V16" s="1"/>
      <c r="W16" s="1"/>
      <c r="X16" s="1"/>
      <c r="Y16" s="1"/>
      <c r="Z16" s="1"/>
    </row>
    <row r="17" spans="1:26">
      <c r="A17" s="36" t="s">
        <v>61</v>
      </c>
      <c r="B17" s="36" t="s">
        <v>94</v>
      </c>
      <c r="C17" s="36">
        <v>6</v>
      </c>
      <c r="D17" s="40">
        <v>2.5000000000000001E-2</v>
      </c>
      <c r="E17" s="43">
        <f t="shared" ref="E17:N17" si="7">E$3*E16</f>
        <v>2.6829268292682928</v>
      </c>
      <c r="F17" s="43">
        <f t="shared" si="7"/>
        <v>5.2349791790600833</v>
      </c>
      <c r="G17" s="43">
        <f t="shared" si="7"/>
        <v>7.6609451400879278</v>
      </c>
      <c r="H17" s="43">
        <f t="shared" si="7"/>
        <v>9.9654570927973047</v>
      </c>
      <c r="I17" s="43">
        <f t="shared" si="7"/>
        <v>12.152996454630863</v>
      </c>
      <c r="J17" s="43">
        <f t="shared" si="7"/>
        <v>531.60601786465111</v>
      </c>
      <c r="K17" s="43">
        <f t="shared" si="7"/>
        <v>0</v>
      </c>
      <c r="L17" s="43">
        <f t="shared" si="7"/>
        <v>0</v>
      </c>
      <c r="M17" s="43">
        <f t="shared" si="7"/>
        <v>0</v>
      </c>
      <c r="N17" s="43">
        <f t="shared" si="7"/>
        <v>0</v>
      </c>
      <c r="O17" s="43">
        <f>SUM(E17:N17)</f>
        <v>569.30332256049553</v>
      </c>
      <c r="P17" s="43">
        <f>O17/O16</f>
        <v>5.6157032321151554</v>
      </c>
      <c r="Q17" s="1"/>
      <c r="R17" s="1"/>
      <c r="S17" s="1"/>
      <c r="T17" s="1"/>
      <c r="U17" s="1"/>
      <c r="V17" s="1"/>
      <c r="W17" s="1"/>
      <c r="X17" s="1"/>
      <c r="Y17" s="1"/>
      <c r="Z17" s="1"/>
    </row>
    <row r="18" spans="1:26">
      <c r="A18" s="37" t="s">
        <v>61</v>
      </c>
      <c r="B18" s="37" t="s">
        <v>95</v>
      </c>
      <c r="C18" s="37">
        <v>6</v>
      </c>
      <c r="D18" s="41">
        <v>2.5000000000000001E-2</v>
      </c>
      <c r="E18" s="44">
        <f t="shared" ref="E18:N18" si="8">E$3*(E$3+1)*E16</f>
        <v>5.3658536585365857</v>
      </c>
      <c r="F18" s="44">
        <f t="shared" si="8"/>
        <v>15.70493753718025</v>
      </c>
      <c r="G18" s="44">
        <f t="shared" si="8"/>
        <v>30.643780560351711</v>
      </c>
      <c r="H18" s="44">
        <f t="shared" si="8"/>
        <v>49.827285463986527</v>
      </c>
      <c r="I18" s="44">
        <f t="shared" si="8"/>
        <v>72.917978727785169</v>
      </c>
      <c r="J18" s="44">
        <f t="shared" si="8"/>
        <v>3721.2421250525576</v>
      </c>
      <c r="K18" s="44">
        <f t="shared" si="8"/>
        <v>0</v>
      </c>
      <c r="L18" s="44">
        <f t="shared" si="8"/>
        <v>0</v>
      </c>
      <c r="M18" s="44">
        <f t="shared" si="8"/>
        <v>0</v>
      </c>
      <c r="N18" s="44">
        <f t="shared" si="8"/>
        <v>0</v>
      </c>
      <c r="O18" s="44">
        <f>SUM(E18:N18)</f>
        <v>3895.7019610003981</v>
      </c>
      <c r="P18" s="44">
        <f>O18/(O16*(1+D18)^2)</f>
        <v>36.576186545709014</v>
      </c>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38" t="s">
        <v>64</v>
      </c>
      <c r="B20" s="38" t="s">
        <v>91</v>
      </c>
      <c r="C20" s="38">
        <v>2</v>
      </c>
      <c r="D20" s="39">
        <v>0.03</v>
      </c>
      <c r="E20" s="45">
        <f>IF(E$3&lt;=$C20,IF(E$3=$C20,Portefeuille!$G$8*100+100,Portefeuille!$G$8*100),0)</f>
        <v>3.2</v>
      </c>
      <c r="F20" s="45">
        <f>IF(F$3&lt;=$C20,IF(F$3=$C20,Portefeuille!$G$8*100+100,Portefeuille!$G$8*100),0)</f>
        <v>103.2</v>
      </c>
      <c r="G20" s="45">
        <f>IF(G$3&lt;=$C20,IF(G$3=$C20,Portefeuille!$G$8*100+100,Portefeuille!$G$8*100),0)</f>
        <v>0</v>
      </c>
      <c r="H20" s="45">
        <f>IF(H$3&lt;=$C20,IF(H$3=$C20,Portefeuille!$G$8*100+100,Portefeuille!$G$8*100),0)</f>
        <v>0</v>
      </c>
      <c r="I20" s="45">
        <f>IF(I$3&lt;=$C20,IF(I$3=$C20,Portefeuille!$G$8*100+100,Portefeuille!$G$8*100),0)</f>
        <v>0</v>
      </c>
      <c r="J20" s="45">
        <f>IF(J$3&lt;=$C20,IF(J$3=$C20,Portefeuille!$G$8*100+100,Portefeuille!$G$8*100),0)</f>
        <v>0</v>
      </c>
      <c r="K20" s="45">
        <f>IF(K$3&lt;=$C20,IF(K$3=$C20,Portefeuille!$G$8*100+100,Portefeuille!$G$8*100),0)</f>
        <v>0</v>
      </c>
      <c r="L20" s="45">
        <f>IF(L$3&lt;=$C20,IF(L$3=$C20,Portefeuille!$G$8*100+100,Portefeuille!$G$8*100),0)</f>
        <v>0</v>
      </c>
      <c r="M20" s="45">
        <f>IF(M$3&lt;=$C20,IF(M$3=$C20,Portefeuille!$G$8*100+100,Portefeuille!$G$8*100),0)</f>
        <v>0</v>
      </c>
      <c r="N20" s="45">
        <f>IF(N$3&lt;=$C20,IF(N$3=$C20,Portefeuille!$G$8*100+100,Portefeuille!$G$8*100),0)</f>
        <v>0</v>
      </c>
      <c r="O20" s="42">
        <f>SUM(E20:N20)</f>
        <v>106.4</v>
      </c>
      <c r="P20" s="42" t="s">
        <v>92</v>
      </c>
      <c r="Q20" s="1"/>
      <c r="R20" s="1"/>
      <c r="S20" s="1"/>
      <c r="T20" s="1"/>
      <c r="U20" s="1"/>
      <c r="V20" s="1"/>
      <c r="W20" s="1"/>
      <c r="X20" s="1"/>
      <c r="Y20" s="1"/>
      <c r="Z20" s="1"/>
    </row>
    <row r="21" spans="1:26">
      <c r="A21" s="36" t="s">
        <v>64</v>
      </c>
      <c r="B21" s="36" t="s">
        <v>93</v>
      </c>
      <c r="C21" s="36">
        <v>2</v>
      </c>
      <c r="D21" s="40">
        <v>0.03</v>
      </c>
      <c r="E21" s="43">
        <f t="shared" ref="E21:N21" si="9">E20/(1+$D21)^E$3</f>
        <v>3.1067961165048543</v>
      </c>
      <c r="F21" s="43">
        <f t="shared" si="9"/>
        <v>97.275897822603454</v>
      </c>
      <c r="G21" s="43">
        <f t="shared" si="9"/>
        <v>0</v>
      </c>
      <c r="H21" s="43">
        <f t="shared" si="9"/>
        <v>0</v>
      </c>
      <c r="I21" s="43">
        <f t="shared" si="9"/>
        <v>0</v>
      </c>
      <c r="J21" s="43">
        <f t="shared" si="9"/>
        <v>0</v>
      </c>
      <c r="K21" s="43">
        <f t="shared" si="9"/>
        <v>0</v>
      </c>
      <c r="L21" s="43">
        <f t="shared" si="9"/>
        <v>0</v>
      </c>
      <c r="M21" s="43">
        <f t="shared" si="9"/>
        <v>0</v>
      </c>
      <c r="N21" s="43">
        <f t="shared" si="9"/>
        <v>0</v>
      </c>
      <c r="O21" s="43">
        <f>SUM(E21:N21)</f>
        <v>100.38269393910831</v>
      </c>
      <c r="P21" s="43">
        <f>O21</f>
        <v>100.38269393910831</v>
      </c>
      <c r="Q21" s="1"/>
      <c r="R21" s="1"/>
      <c r="S21" s="1"/>
      <c r="T21" s="1"/>
      <c r="U21" s="1"/>
      <c r="V21" s="1"/>
      <c r="W21" s="1"/>
      <c r="X21" s="1"/>
      <c r="Y21" s="1"/>
      <c r="Z21" s="1"/>
    </row>
    <row r="22" spans="1:26">
      <c r="A22" s="36" t="s">
        <v>64</v>
      </c>
      <c r="B22" s="36" t="s">
        <v>94</v>
      </c>
      <c r="C22" s="36">
        <v>2</v>
      </c>
      <c r="D22" s="40">
        <v>0.03</v>
      </c>
      <c r="E22" s="43">
        <f t="shared" ref="E22:N22" si="10">E$3*E21</f>
        <v>3.1067961165048543</v>
      </c>
      <c r="F22" s="43">
        <f t="shared" si="10"/>
        <v>194.55179564520691</v>
      </c>
      <c r="G22" s="43">
        <f t="shared" si="10"/>
        <v>0</v>
      </c>
      <c r="H22" s="43">
        <f t="shared" si="10"/>
        <v>0</v>
      </c>
      <c r="I22" s="43">
        <f t="shared" si="10"/>
        <v>0</v>
      </c>
      <c r="J22" s="43">
        <f t="shared" si="10"/>
        <v>0</v>
      </c>
      <c r="K22" s="43">
        <f t="shared" si="10"/>
        <v>0</v>
      </c>
      <c r="L22" s="43">
        <f t="shared" si="10"/>
        <v>0</v>
      </c>
      <c r="M22" s="43">
        <f t="shared" si="10"/>
        <v>0</v>
      </c>
      <c r="N22" s="43">
        <f t="shared" si="10"/>
        <v>0</v>
      </c>
      <c r="O22" s="43">
        <f>SUM(E22:N22)</f>
        <v>197.65859176171176</v>
      </c>
      <c r="P22" s="43">
        <f>O22/O21</f>
        <v>1.9690504807692308</v>
      </c>
      <c r="Q22" s="1"/>
      <c r="R22" s="1"/>
      <c r="S22" s="1"/>
      <c r="T22" s="1"/>
      <c r="U22" s="1"/>
      <c r="V22" s="1"/>
      <c r="W22" s="1"/>
      <c r="X22" s="1"/>
      <c r="Y22" s="1"/>
      <c r="Z22" s="1"/>
    </row>
    <row r="23" spans="1:26">
      <c r="A23" s="37" t="s">
        <v>64</v>
      </c>
      <c r="B23" s="37" t="s">
        <v>95</v>
      </c>
      <c r="C23" s="37">
        <v>2</v>
      </c>
      <c r="D23" s="41">
        <v>0.03</v>
      </c>
      <c r="E23" s="44">
        <f t="shared" ref="E23:N23" si="11">E$3*(E$3+1)*E21</f>
        <v>6.2135922330097086</v>
      </c>
      <c r="F23" s="44">
        <f t="shared" si="11"/>
        <v>583.65538693562075</v>
      </c>
      <c r="G23" s="44">
        <f t="shared" si="11"/>
        <v>0</v>
      </c>
      <c r="H23" s="44">
        <f t="shared" si="11"/>
        <v>0</v>
      </c>
      <c r="I23" s="44">
        <f t="shared" si="11"/>
        <v>0</v>
      </c>
      <c r="J23" s="44">
        <f t="shared" si="11"/>
        <v>0</v>
      </c>
      <c r="K23" s="44">
        <f t="shared" si="11"/>
        <v>0</v>
      </c>
      <c r="L23" s="44">
        <f t="shared" si="11"/>
        <v>0</v>
      </c>
      <c r="M23" s="44">
        <f t="shared" si="11"/>
        <v>0</v>
      </c>
      <c r="N23" s="44">
        <f t="shared" si="11"/>
        <v>0</v>
      </c>
      <c r="O23" s="44">
        <f>SUM(E23:N23)</f>
        <v>589.86897916863052</v>
      </c>
      <c r="P23" s="44">
        <f>O23/(O21*(1+D23)^2)</f>
        <v>5.5388838939362097</v>
      </c>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38" t="s">
        <v>68</v>
      </c>
      <c r="B25" s="38" t="s">
        <v>91</v>
      </c>
      <c r="C25" s="38">
        <v>4</v>
      </c>
      <c r="D25" s="39">
        <v>3.4000000000000002E-2</v>
      </c>
      <c r="E25" s="45">
        <f>IF(E$3&lt;=$C25,IF(E$3=$C25,Portefeuille!$G$9*100+100,Portefeuille!$G$9*100),0)</f>
        <v>3.75</v>
      </c>
      <c r="F25" s="45">
        <f>IF(F$3&lt;=$C25,IF(F$3=$C25,Portefeuille!$G$9*100+100,Portefeuille!$G$9*100),0)</f>
        <v>3.75</v>
      </c>
      <c r="G25" s="45">
        <f>IF(G$3&lt;=$C25,IF(G$3=$C25,Portefeuille!$G$9*100+100,Portefeuille!$G$9*100),0)</f>
        <v>3.75</v>
      </c>
      <c r="H25" s="45">
        <f>IF(H$3&lt;=$C25,IF(H$3=$C25,Portefeuille!$G$9*100+100,Portefeuille!$G$9*100),0)</f>
        <v>103.75</v>
      </c>
      <c r="I25" s="45">
        <f>IF(I$3&lt;=$C25,IF(I$3=$C25,Portefeuille!$G$9*100+100,Portefeuille!$G$9*100),0)</f>
        <v>0</v>
      </c>
      <c r="J25" s="45">
        <f>IF(J$3&lt;=$C25,IF(J$3=$C25,Portefeuille!$G$9*100+100,Portefeuille!$G$9*100),0)</f>
        <v>0</v>
      </c>
      <c r="K25" s="45">
        <f>IF(K$3&lt;=$C25,IF(K$3=$C25,Portefeuille!$G$9*100+100,Portefeuille!$G$9*100),0)</f>
        <v>0</v>
      </c>
      <c r="L25" s="45">
        <f>IF(L$3&lt;=$C25,IF(L$3=$C25,Portefeuille!$G$9*100+100,Portefeuille!$G$9*100),0)</f>
        <v>0</v>
      </c>
      <c r="M25" s="45">
        <f>IF(M$3&lt;=$C25,IF(M$3=$C25,Portefeuille!$G$9*100+100,Portefeuille!$G$9*100),0)</f>
        <v>0</v>
      </c>
      <c r="N25" s="45">
        <f>IF(N$3&lt;=$C25,IF(N$3=$C25,Portefeuille!$G$9*100+100,Portefeuille!$G$9*100),0)</f>
        <v>0</v>
      </c>
      <c r="O25" s="42">
        <f>SUM(E25:N25)</f>
        <v>115</v>
      </c>
      <c r="P25" s="42" t="s">
        <v>92</v>
      </c>
      <c r="Q25" s="1"/>
      <c r="R25" s="1"/>
      <c r="S25" s="1"/>
      <c r="T25" s="1"/>
      <c r="U25" s="1"/>
      <c r="V25" s="1"/>
      <c r="W25" s="1"/>
      <c r="X25" s="1"/>
      <c r="Y25" s="1"/>
      <c r="Z25" s="1"/>
    </row>
    <row r="26" spans="1:26">
      <c r="A26" s="36" t="s">
        <v>68</v>
      </c>
      <c r="B26" s="36" t="s">
        <v>93</v>
      </c>
      <c r="C26" s="36">
        <v>4</v>
      </c>
      <c r="D26" s="40">
        <v>3.4000000000000002E-2</v>
      </c>
      <c r="E26" s="43">
        <f t="shared" ref="E26:N26" si="12">E25/(1+$D26)^E$3</f>
        <v>3.6266924564796903</v>
      </c>
      <c r="F26" s="43">
        <f t="shared" si="12"/>
        <v>3.5074395130364513</v>
      </c>
      <c r="G26" s="43">
        <f t="shared" si="12"/>
        <v>3.3921078462634924</v>
      </c>
      <c r="H26" s="43">
        <f t="shared" si="12"/>
        <v>90.762395628584756</v>
      </c>
      <c r="I26" s="43">
        <f t="shared" si="12"/>
        <v>0</v>
      </c>
      <c r="J26" s="43">
        <f t="shared" si="12"/>
        <v>0</v>
      </c>
      <c r="K26" s="43">
        <f t="shared" si="12"/>
        <v>0</v>
      </c>
      <c r="L26" s="43">
        <f t="shared" si="12"/>
        <v>0</v>
      </c>
      <c r="M26" s="43">
        <f t="shared" si="12"/>
        <v>0</v>
      </c>
      <c r="N26" s="43">
        <f t="shared" si="12"/>
        <v>0</v>
      </c>
      <c r="O26" s="43">
        <f>SUM(E26:N26)</f>
        <v>101.28863544436439</v>
      </c>
      <c r="P26" s="43">
        <f>O26</f>
        <v>101.28863544436439</v>
      </c>
      <c r="Q26" s="1"/>
      <c r="R26" s="1"/>
      <c r="S26" s="1"/>
      <c r="T26" s="1"/>
      <c r="U26" s="1"/>
      <c r="V26" s="1"/>
      <c r="W26" s="1"/>
      <c r="X26" s="1"/>
      <c r="Y26" s="1"/>
      <c r="Z26" s="1"/>
    </row>
    <row r="27" spans="1:26">
      <c r="A27" s="36" t="s">
        <v>68</v>
      </c>
      <c r="B27" s="36" t="s">
        <v>94</v>
      </c>
      <c r="C27" s="36">
        <v>4</v>
      </c>
      <c r="D27" s="40">
        <v>3.4000000000000002E-2</v>
      </c>
      <c r="E27" s="43">
        <f t="shared" ref="E27:N27" si="13">E$3*E26</f>
        <v>3.6266924564796903</v>
      </c>
      <c r="F27" s="43">
        <f t="shared" si="13"/>
        <v>7.0148790260729026</v>
      </c>
      <c r="G27" s="43">
        <f t="shared" si="13"/>
        <v>10.176323538790477</v>
      </c>
      <c r="H27" s="43">
        <f t="shared" si="13"/>
        <v>363.04958251433902</v>
      </c>
      <c r="I27" s="43">
        <f t="shared" si="13"/>
        <v>0</v>
      </c>
      <c r="J27" s="43">
        <f t="shared" si="13"/>
        <v>0</v>
      </c>
      <c r="K27" s="43">
        <f t="shared" si="13"/>
        <v>0</v>
      </c>
      <c r="L27" s="43">
        <f t="shared" si="13"/>
        <v>0</v>
      </c>
      <c r="M27" s="43">
        <f t="shared" si="13"/>
        <v>0</v>
      </c>
      <c r="N27" s="43">
        <f t="shared" si="13"/>
        <v>0</v>
      </c>
      <c r="O27" s="43">
        <f>SUM(E27:N27)</f>
        <v>383.8674775356821</v>
      </c>
      <c r="P27" s="43">
        <f>O27/O26</f>
        <v>3.7898375849532697</v>
      </c>
      <c r="Q27" s="1"/>
      <c r="R27" s="1"/>
      <c r="S27" s="1"/>
      <c r="T27" s="1"/>
      <c r="U27" s="1"/>
      <c r="V27" s="1"/>
      <c r="W27" s="1"/>
      <c r="X27" s="1"/>
      <c r="Y27" s="1"/>
      <c r="Z27" s="1"/>
    </row>
    <row r="28" spans="1:26">
      <c r="A28" s="37" t="s">
        <v>68</v>
      </c>
      <c r="B28" s="37" t="s">
        <v>95</v>
      </c>
      <c r="C28" s="37">
        <v>4</v>
      </c>
      <c r="D28" s="41">
        <v>3.4000000000000002E-2</v>
      </c>
      <c r="E28" s="44">
        <f t="shared" ref="E28:N28" si="14">E$3*(E$3+1)*E26</f>
        <v>7.2533849129593806</v>
      </c>
      <c r="F28" s="44">
        <f t="shared" si="14"/>
        <v>21.044637078218706</v>
      </c>
      <c r="G28" s="44">
        <f t="shared" si="14"/>
        <v>40.705294155161909</v>
      </c>
      <c r="H28" s="44">
        <f t="shared" si="14"/>
        <v>1815.247912571695</v>
      </c>
      <c r="I28" s="44">
        <f t="shared" si="14"/>
        <v>0</v>
      </c>
      <c r="J28" s="44">
        <f t="shared" si="14"/>
        <v>0</v>
      </c>
      <c r="K28" s="44">
        <f t="shared" si="14"/>
        <v>0</v>
      </c>
      <c r="L28" s="44">
        <f t="shared" si="14"/>
        <v>0</v>
      </c>
      <c r="M28" s="44">
        <f t="shared" si="14"/>
        <v>0</v>
      </c>
      <c r="N28" s="44">
        <f t="shared" si="14"/>
        <v>0</v>
      </c>
      <c r="O28" s="44">
        <f>SUM(E28:N28)</f>
        <v>1884.251228718035</v>
      </c>
      <c r="P28" s="44">
        <f>O28/(O26*(1+D28)^2)</f>
        <v>17.399509650414146</v>
      </c>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38" t="s">
        <v>71</v>
      </c>
      <c r="B30" s="38" t="s">
        <v>91</v>
      </c>
      <c r="C30" s="38">
        <v>5</v>
      </c>
      <c r="D30" s="39">
        <v>3.9E-2</v>
      </c>
      <c r="E30" s="45">
        <f>IF(E$3&lt;=$C30,IF(E$3=$C30,Portefeuille!$G$10*100+100,Portefeuille!$G$10*100),0)</f>
        <v>4.1000000000000005</v>
      </c>
      <c r="F30" s="45">
        <f>IF(F$3&lt;=$C30,IF(F$3=$C30,Portefeuille!$G$10*100+100,Portefeuille!$G$10*100),0)</f>
        <v>4.1000000000000005</v>
      </c>
      <c r="G30" s="45">
        <f>IF(G$3&lt;=$C30,IF(G$3=$C30,Portefeuille!$G$10*100+100,Portefeuille!$G$10*100),0)</f>
        <v>4.1000000000000005</v>
      </c>
      <c r="H30" s="45">
        <f>IF(H$3&lt;=$C30,IF(H$3=$C30,Portefeuille!$G$10*100+100,Portefeuille!$G$10*100),0)</f>
        <v>4.1000000000000005</v>
      </c>
      <c r="I30" s="45">
        <f>IF(I$3&lt;=$C30,IF(I$3=$C30,Portefeuille!$G$10*100+100,Portefeuille!$G$10*100),0)</f>
        <v>104.1</v>
      </c>
      <c r="J30" s="45">
        <f>IF(J$3&lt;=$C30,IF(J$3=$C30,Portefeuille!$G$10*100+100,Portefeuille!$G$10*100),0)</f>
        <v>0</v>
      </c>
      <c r="K30" s="45">
        <f>IF(K$3&lt;=$C30,IF(K$3=$C30,Portefeuille!$G$10*100+100,Portefeuille!$G$10*100),0)</f>
        <v>0</v>
      </c>
      <c r="L30" s="45">
        <f>IF(L$3&lt;=$C30,IF(L$3=$C30,Portefeuille!$G$10*100+100,Portefeuille!$G$10*100),0)</f>
        <v>0</v>
      </c>
      <c r="M30" s="45">
        <f>IF(M$3&lt;=$C30,IF(M$3=$C30,Portefeuille!$G$10*100+100,Portefeuille!$G$10*100),0)</f>
        <v>0</v>
      </c>
      <c r="N30" s="45">
        <f>IF(N$3&lt;=$C30,IF(N$3=$C30,Portefeuille!$G$10*100+100,Portefeuille!$G$10*100),0)</f>
        <v>0</v>
      </c>
      <c r="O30" s="42">
        <f>SUM(E30:N30)</f>
        <v>120.5</v>
      </c>
      <c r="P30" s="42" t="s">
        <v>92</v>
      </c>
      <c r="Q30" s="1"/>
      <c r="R30" s="1"/>
      <c r="S30" s="1"/>
      <c r="T30" s="1"/>
      <c r="U30" s="1"/>
      <c r="V30" s="1"/>
      <c r="W30" s="1"/>
      <c r="X30" s="1"/>
      <c r="Y30" s="1"/>
      <c r="Z30" s="1"/>
    </row>
    <row r="31" spans="1:26">
      <c r="A31" s="36" t="s">
        <v>71</v>
      </c>
      <c r="B31" s="36" t="s">
        <v>93</v>
      </c>
      <c r="C31" s="36">
        <v>5</v>
      </c>
      <c r="D31" s="40">
        <v>3.9E-2</v>
      </c>
      <c r="E31" s="43">
        <f t="shared" ref="E31:N31" si="15">E30/(1+$D31)^E$3</f>
        <v>3.9461020211742066</v>
      </c>
      <c r="F31" s="43">
        <f t="shared" si="15"/>
        <v>3.7979807711012583</v>
      </c>
      <c r="G31" s="43">
        <f t="shared" si="15"/>
        <v>3.6554194139569383</v>
      </c>
      <c r="H31" s="43">
        <f t="shared" si="15"/>
        <v>3.518209253086563</v>
      </c>
      <c r="I31" s="43">
        <f t="shared" si="15"/>
        <v>85.975159803354813</v>
      </c>
      <c r="J31" s="43">
        <f t="shared" si="15"/>
        <v>0</v>
      </c>
      <c r="K31" s="43">
        <f t="shared" si="15"/>
        <v>0</v>
      </c>
      <c r="L31" s="43">
        <f t="shared" si="15"/>
        <v>0</v>
      </c>
      <c r="M31" s="43">
        <f t="shared" si="15"/>
        <v>0</v>
      </c>
      <c r="N31" s="43">
        <f t="shared" si="15"/>
        <v>0</v>
      </c>
      <c r="O31" s="43">
        <f>SUM(E31:N31)</f>
        <v>100.89287126267378</v>
      </c>
      <c r="P31" s="43">
        <f>O31</f>
        <v>100.89287126267378</v>
      </c>
      <c r="Q31" s="1"/>
      <c r="R31" s="1"/>
      <c r="S31" s="1"/>
      <c r="T31" s="1"/>
      <c r="U31" s="1"/>
      <c r="V31" s="1"/>
      <c r="W31" s="1"/>
      <c r="X31" s="1"/>
      <c r="Y31" s="1"/>
      <c r="Z31" s="1"/>
    </row>
    <row r="32" spans="1:26">
      <c r="A32" s="36" t="s">
        <v>71</v>
      </c>
      <c r="B32" s="36" t="s">
        <v>94</v>
      </c>
      <c r="C32" s="36">
        <v>5</v>
      </c>
      <c r="D32" s="40">
        <v>3.9E-2</v>
      </c>
      <c r="E32" s="43">
        <f t="shared" ref="E32:N32" si="16">E$3*E31</f>
        <v>3.9461020211742066</v>
      </c>
      <c r="F32" s="43">
        <f t="shared" si="16"/>
        <v>7.5959615422025166</v>
      </c>
      <c r="G32" s="43">
        <f t="shared" si="16"/>
        <v>10.966258241870815</v>
      </c>
      <c r="H32" s="43">
        <f t="shared" si="16"/>
        <v>14.072837012346252</v>
      </c>
      <c r="I32" s="43">
        <f t="shared" si="16"/>
        <v>429.87579901677407</v>
      </c>
      <c r="J32" s="43">
        <f t="shared" si="16"/>
        <v>0</v>
      </c>
      <c r="K32" s="43">
        <f t="shared" si="16"/>
        <v>0</v>
      </c>
      <c r="L32" s="43">
        <f t="shared" si="16"/>
        <v>0</v>
      </c>
      <c r="M32" s="43">
        <f t="shared" si="16"/>
        <v>0</v>
      </c>
      <c r="N32" s="43">
        <f t="shared" si="16"/>
        <v>0</v>
      </c>
      <c r="O32" s="43">
        <f>SUM(E32:N32)</f>
        <v>466.45695783436787</v>
      </c>
      <c r="P32" s="43">
        <f>O32/O31</f>
        <v>4.6232895545211603</v>
      </c>
      <c r="Q32" s="1"/>
      <c r="R32" s="1"/>
      <c r="S32" s="1"/>
      <c r="T32" s="1"/>
      <c r="U32" s="1"/>
      <c r="V32" s="1"/>
      <c r="W32" s="1"/>
      <c r="X32" s="1"/>
      <c r="Y32" s="1"/>
      <c r="Z32" s="1"/>
    </row>
    <row r="33" spans="1:26">
      <c r="A33" s="37" t="s">
        <v>71</v>
      </c>
      <c r="B33" s="37" t="s">
        <v>95</v>
      </c>
      <c r="C33" s="37">
        <v>5</v>
      </c>
      <c r="D33" s="41">
        <v>3.9E-2</v>
      </c>
      <c r="E33" s="44">
        <f t="shared" ref="E33:N33" si="17">E$3*(E$3+1)*E31</f>
        <v>7.8922040423484132</v>
      </c>
      <c r="F33" s="44">
        <f t="shared" si="17"/>
        <v>22.78788462660755</v>
      </c>
      <c r="G33" s="44">
        <f t="shared" si="17"/>
        <v>43.865032967483259</v>
      </c>
      <c r="H33" s="44">
        <f t="shared" si="17"/>
        <v>70.364185061731263</v>
      </c>
      <c r="I33" s="44">
        <f t="shared" si="17"/>
        <v>2579.2547941006442</v>
      </c>
      <c r="J33" s="44">
        <f t="shared" si="17"/>
        <v>0</v>
      </c>
      <c r="K33" s="44">
        <f t="shared" si="17"/>
        <v>0</v>
      </c>
      <c r="L33" s="44">
        <f t="shared" si="17"/>
        <v>0</v>
      </c>
      <c r="M33" s="44">
        <f t="shared" si="17"/>
        <v>0</v>
      </c>
      <c r="N33" s="44">
        <f t="shared" si="17"/>
        <v>0</v>
      </c>
      <c r="O33" s="44">
        <f>SUM(E33:N33)</f>
        <v>2724.1641007988146</v>
      </c>
      <c r="P33" s="44">
        <f>O33/(O31*(1+D33)^2)</f>
        <v>25.011612335655869</v>
      </c>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38" t="s">
        <v>74</v>
      </c>
      <c r="B35" s="38" t="s">
        <v>91</v>
      </c>
      <c r="C35" s="38">
        <v>8</v>
      </c>
      <c r="D35" s="39">
        <v>3.5999999999999997E-2</v>
      </c>
      <c r="E35" s="45">
        <f>IF(E$3&lt;=$C35,IF(E$3=$C35,Portefeuille!$G$11*100+100,Portefeuille!$G$11*100),0)</f>
        <v>4</v>
      </c>
      <c r="F35" s="45">
        <f>IF(F$3&lt;=$C35,IF(F$3=$C35,Portefeuille!$G$11*100+100,Portefeuille!$G$11*100),0)</f>
        <v>4</v>
      </c>
      <c r="G35" s="45">
        <f>IF(G$3&lt;=$C35,IF(G$3=$C35,Portefeuille!$G$11*100+100,Portefeuille!$G$11*100),0)</f>
        <v>4</v>
      </c>
      <c r="H35" s="45">
        <f>IF(H$3&lt;=$C35,IF(H$3=$C35,Portefeuille!$G$11*100+100,Portefeuille!$G$11*100),0)</f>
        <v>4</v>
      </c>
      <c r="I35" s="45">
        <f>IF(I$3&lt;=$C35,IF(I$3=$C35,Portefeuille!$G$11*100+100,Portefeuille!$G$11*100),0)</f>
        <v>4</v>
      </c>
      <c r="J35" s="45">
        <f>IF(J$3&lt;=$C35,IF(J$3=$C35,Portefeuille!$G$11*100+100,Portefeuille!$G$11*100),0)</f>
        <v>4</v>
      </c>
      <c r="K35" s="45">
        <f>IF(K$3&lt;=$C35,IF(K$3=$C35,Portefeuille!$G$11*100+100,Portefeuille!$G$11*100),0)</f>
        <v>4</v>
      </c>
      <c r="L35" s="45">
        <f>IF(L$3&lt;=$C35,IF(L$3=$C35,Portefeuille!$G$11*100+100,Portefeuille!$G$11*100),0)</f>
        <v>104</v>
      </c>
      <c r="M35" s="45">
        <f>IF(M$3&lt;=$C35,IF(M$3=$C35,Portefeuille!$G$11*100+100,Portefeuille!$G$11*100),0)</f>
        <v>0</v>
      </c>
      <c r="N35" s="45">
        <f>IF(N$3&lt;=$C35,IF(N$3=$C35,Portefeuille!$G$11*100+100,Portefeuille!$G$11*100),0)</f>
        <v>0</v>
      </c>
      <c r="O35" s="42">
        <f>SUM(E35:N35)</f>
        <v>132</v>
      </c>
      <c r="P35" s="42" t="s">
        <v>92</v>
      </c>
      <c r="Q35" s="1"/>
      <c r="R35" s="1"/>
      <c r="S35" s="1"/>
      <c r="T35" s="1"/>
      <c r="U35" s="1"/>
      <c r="V35" s="1"/>
      <c r="W35" s="1"/>
      <c r="X35" s="1"/>
      <c r="Y35" s="1"/>
      <c r="Z35" s="1"/>
    </row>
    <row r="36" spans="1:26">
      <c r="A36" s="36" t="s">
        <v>74</v>
      </c>
      <c r="B36" s="36" t="s">
        <v>93</v>
      </c>
      <c r="C36" s="36">
        <v>8</v>
      </c>
      <c r="D36" s="40">
        <v>3.5999999999999997E-2</v>
      </c>
      <c r="E36" s="43">
        <f t="shared" ref="E36:N36" si="18">E35/(1+$D36)^E$3</f>
        <v>3.8610038610038608</v>
      </c>
      <c r="F36" s="43">
        <f t="shared" si="18"/>
        <v>3.7268377036716802</v>
      </c>
      <c r="G36" s="43">
        <f t="shared" si="18"/>
        <v>3.5973336908027802</v>
      </c>
      <c r="H36" s="43">
        <f t="shared" si="18"/>
        <v>3.4723298173772008</v>
      </c>
      <c r="I36" s="43">
        <f t="shared" si="18"/>
        <v>3.3516697078930506</v>
      </c>
      <c r="J36" s="43">
        <f t="shared" si="18"/>
        <v>3.2352024207461882</v>
      </c>
      <c r="K36" s="43">
        <f t="shared" si="18"/>
        <v>3.1227822594075172</v>
      </c>
      <c r="L36" s="43">
        <f t="shared" si="18"/>
        <v>78.370983344204106</v>
      </c>
      <c r="M36" s="43">
        <f t="shared" si="18"/>
        <v>0</v>
      </c>
      <c r="N36" s="43">
        <f t="shared" si="18"/>
        <v>0</v>
      </c>
      <c r="O36" s="43">
        <f>SUM(E36:N36)</f>
        <v>102.73814280510638</v>
      </c>
      <c r="P36" s="43">
        <f>O36</f>
        <v>102.73814280510638</v>
      </c>
      <c r="Q36" s="1"/>
      <c r="R36" s="1"/>
      <c r="S36" s="1"/>
      <c r="T36" s="1"/>
      <c r="U36" s="1"/>
      <c r="V36" s="1"/>
      <c r="W36" s="1"/>
      <c r="X36" s="1"/>
      <c r="Y36" s="1"/>
      <c r="Z36" s="1"/>
    </row>
    <row r="37" spans="1:26">
      <c r="A37" s="36" t="s">
        <v>74</v>
      </c>
      <c r="B37" s="36" t="s">
        <v>94</v>
      </c>
      <c r="C37" s="36">
        <v>8</v>
      </c>
      <c r="D37" s="40">
        <v>3.5999999999999997E-2</v>
      </c>
      <c r="E37" s="43">
        <f t="shared" ref="E37:N37" si="19">E$3*E36</f>
        <v>3.8610038610038608</v>
      </c>
      <c r="F37" s="43">
        <f t="shared" si="19"/>
        <v>7.4536754073433604</v>
      </c>
      <c r="G37" s="43">
        <f t="shared" si="19"/>
        <v>10.79200107240834</v>
      </c>
      <c r="H37" s="43">
        <f t="shared" si="19"/>
        <v>13.889319269508803</v>
      </c>
      <c r="I37" s="43">
        <f t="shared" si="19"/>
        <v>16.758348539465253</v>
      </c>
      <c r="J37" s="43">
        <f t="shared" si="19"/>
        <v>19.411214524477131</v>
      </c>
      <c r="K37" s="43">
        <f t="shared" si="19"/>
        <v>21.859475815852619</v>
      </c>
      <c r="L37" s="43">
        <f t="shared" si="19"/>
        <v>626.96786675363285</v>
      </c>
      <c r="M37" s="43">
        <f t="shared" si="19"/>
        <v>0</v>
      </c>
      <c r="N37" s="43">
        <f t="shared" si="19"/>
        <v>0</v>
      </c>
      <c r="O37" s="43">
        <f>SUM(E37:N37)</f>
        <v>720.99290524369223</v>
      </c>
      <c r="P37" s="43">
        <f>O37/O36</f>
        <v>7.017772421790915</v>
      </c>
      <c r="Q37" s="1"/>
      <c r="R37" s="1"/>
      <c r="S37" s="1"/>
      <c r="T37" s="1"/>
      <c r="U37" s="1"/>
      <c r="V37" s="1"/>
      <c r="W37" s="1"/>
      <c r="X37" s="1"/>
      <c r="Y37" s="1"/>
      <c r="Z37" s="1"/>
    </row>
    <row r="38" spans="1:26">
      <c r="A38" s="37" t="s">
        <v>74</v>
      </c>
      <c r="B38" s="37" t="s">
        <v>95</v>
      </c>
      <c r="C38" s="37">
        <v>8</v>
      </c>
      <c r="D38" s="41">
        <v>3.5999999999999997E-2</v>
      </c>
      <c r="E38" s="44">
        <f t="shared" ref="E38:N38" si="20">E$3*(E$3+1)*E36</f>
        <v>7.7220077220077217</v>
      </c>
      <c r="F38" s="44">
        <f t="shared" si="20"/>
        <v>22.36102622203008</v>
      </c>
      <c r="G38" s="44">
        <f t="shared" si="20"/>
        <v>43.168004289633359</v>
      </c>
      <c r="H38" s="44">
        <f t="shared" si="20"/>
        <v>69.446596347544016</v>
      </c>
      <c r="I38" s="44">
        <f t="shared" si="20"/>
        <v>100.55009123679152</v>
      </c>
      <c r="J38" s="44">
        <f t="shared" si="20"/>
        <v>135.8785016713399</v>
      </c>
      <c r="K38" s="44">
        <f t="shared" si="20"/>
        <v>174.87580652682095</v>
      </c>
      <c r="L38" s="44">
        <f t="shared" si="20"/>
        <v>5642.7108007826955</v>
      </c>
      <c r="M38" s="44">
        <f t="shared" si="20"/>
        <v>0</v>
      </c>
      <c r="N38" s="44">
        <f t="shared" si="20"/>
        <v>0</v>
      </c>
      <c r="O38" s="44">
        <f>SUM(E38:N38)</f>
        <v>6196.7128347988628</v>
      </c>
      <c r="P38" s="44">
        <f>O38/(O36*(1+D38)^2)</f>
        <v>56.196614034974502</v>
      </c>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38" t="s">
        <v>76</v>
      </c>
      <c r="B40" s="38" t="s">
        <v>91</v>
      </c>
      <c r="C40" s="38">
        <v>10</v>
      </c>
      <c r="D40" s="39">
        <v>4.2000000000000003E-2</v>
      </c>
      <c r="E40" s="45">
        <f>IF(E$3&lt;=$C40,IF(E$3=$C40,Portefeuille!$G$12*100+100,Portefeuille!$G$12*100),0)</f>
        <v>4.3</v>
      </c>
      <c r="F40" s="45">
        <f>IF(F$3&lt;=$C40,IF(F$3=$C40,Portefeuille!$G$12*100+100,Portefeuille!$G$12*100),0)</f>
        <v>4.3</v>
      </c>
      <c r="G40" s="45">
        <f>IF(G$3&lt;=$C40,IF(G$3=$C40,Portefeuille!$G$12*100+100,Portefeuille!$G$12*100),0)</f>
        <v>4.3</v>
      </c>
      <c r="H40" s="45">
        <f>IF(H$3&lt;=$C40,IF(H$3=$C40,Portefeuille!$G$12*100+100,Portefeuille!$G$12*100),0)</f>
        <v>4.3</v>
      </c>
      <c r="I40" s="45">
        <f>IF(I$3&lt;=$C40,IF(I$3=$C40,Portefeuille!$G$12*100+100,Portefeuille!$G$12*100),0)</f>
        <v>4.3</v>
      </c>
      <c r="J40" s="45">
        <f>IF(J$3&lt;=$C40,IF(J$3=$C40,Portefeuille!$G$12*100+100,Portefeuille!$G$12*100),0)</f>
        <v>4.3</v>
      </c>
      <c r="K40" s="45">
        <f>IF(K$3&lt;=$C40,IF(K$3=$C40,Portefeuille!$G$12*100+100,Portefeuille!$G$12*100),0)</f>
        <v>4.3</v>
      </c>
      <c r="L40" s="45">
        <f>IF(L$3&lt;=$C40,IF(L$3=$C40,Portefeuille!$G$12*100+100,Portefeuille!$G$12*100),0)</f>
        <v>4.3</v>
      </c>
      <c r="M40" s="45">
        <f>IF(M$3&lt;=$C40,IF(M$3=$C40,Portefeuille!$G$12*100+100,Portefeuille!$G$12*100),0)</f>
        <v>4.3</v>
      </c>
      <c r="N40" s="45">
        <f>IF(N$3&lt;=$C40,IF(N$3=$C40,Portefeuille!$G$12*100+100,Portefeuille!$G$12*100),0)</f>
        <v>104.3</v>
      </c>
      <c r="O40" s="42">
        <f>SUM(E40:N40)</f>
        <v>143</v>
      </c>
      <c r="P40" s="42" t="s">
        <v>92</v>
      </c>
      <c r="Q40" s="1"/>
      <c r="R40" s="1"/>
      <c r="S40" s="1"/>
      <c r="T40" s="1"/>
      <c r="U40" s="1"/>
      <c r="V40" s="1"/>
      <c r="W40" s="1"/>
      <c r="X40" s="1"/>
      <c r="Y40" s="1"/>
      <c r="Z40" s="1"/>
    </row>
    <row r="41" spans="1:26">
      <c r="A41" s="36" t="s">
        <v>76</v>
      </c>
      <c r="B41" s="36" t="s">
        <v>93</v>
      </c>
      <c r="C41" s="36">
        <v>10</v>
      </c>
      <c r="D41" s="40">
        <v>4.2000000000000003E-2</v>
      </c>
      <c r="E41" s="43">
        <f t="shared" ref="E41:N41" si="21">E40/(1+$D41)^E$3</f>
        <v>4.1266794625719765</v>
      </c>
      <c r="F41" s="43">
        <f t="shared" si="21"/>
        <v>3.9603449736775205</v>
      </c>
      <c r="G41" s="43">
        <f t="shared" si="21"/>
        <v>3.8007149459477159</v>
      </c>
      <c r="H41" s="43">
        <f t="shared" si="21"/>
        <v>3.6475191419843718</v>
      </c>
      <c r="I41" s="43">
        <f t="shared" si="21"/>
        <v>3.5004982168755969</v>
      </c>
      <c r="J41" s="43">
        <f t="shared" si="21"/>
        <v>3.3594032791512438</v>
      </c>
      <c r="K41" s="43">
        <f t="shared" si="21"/>
        <v>3.2239954694349753</v>
      </c>
      <c r="L41" s="43">
        <f t="shared" si="21"/>
        <v>3.0940455560796303</v>
      </c>
      <c r="M41" s="43">
        <f t="shared" si="21"/>
        <v>2.9693335471013724</v>
      </c>
      <c r="N41" s="43">
        <f t="shared" si="21"/>
        <v>69.120539428351819</v>
      </c>
      <c r="O41" s="43">
        <f>SUM(E41:N41)</f>
        <v>100.80307402117623</v>
      </c>
      <c r="P41" s="43">
        <f>O41</f>
        <v>100.80307402117623</v>
      </c>
      <c r="Q41" s="1"/>
      <c r="R41" s="1"/>
      <c r="S41" s="1"/>
      <c r="T41" s="1"/>
      <c r="U41" s="1"/>
      <c r="V41" s="1"/>
      <c r="W41" s="1"/>
      <c r="X41" s="1"/>
      <c r="Y41" s="1"/>
      <c r="Z41" s="1"/>
    </row>
    <row r="42" spans="1:26">
      <c r="A42" s="36" t="s">
        <v>76</v>
      </c>
      <c r="B42" s="36" t="s">
        <v>94</v>
      </c>
      <c r="C42" s="36">
        <v>10</v>
      </c>
      <c r="D42" s="40">
        <v>4.2000000000000003E-2</v>
      </c>
      <c r="E42" s="43">
        <f t="shared" ref="E42:N42" si="22">E$3*E41</f>
        <v>4.1266794625719765</v>
      </c>
      <c r="F42" s="43">
        <f t="shared" si="22"/>
        <v>7.9206899473550409</v>
      </c>
      <c r="G42" s="43">
        <f t="shared" si="22"/>
        <v>11.402144837843148</v>
      </c>
      <c r="H42" s="43">
        <f t="shared" si="22"/>
        <v>14.590076567937487</v>
      </c>
      <c r="I42" s="43">
        <f t="shared" si="22"/>
        <v>17.502491084377986</v>
      </c>
      <c r="J42" s="43">
        <f t="shared" si="22"/>
        <v>20.156419674907461</v>
      </c>
      <c r="K42" s="43">
        <f t="shared" si="22"/>
        <v>22.567968286044827</v>
      </c>
      <c r="L42" s="43">
        <f t="shared" si="22"/>
        <v>24.752364448637042</v>
      </c>
      <c r="M42" s="43">
        <f t="shared" si="22"/>
        <v>26.724001923912351</v>
      </c>
      <c r="N42" s="43">
        <f t="shared" si="22"/>
        <v>691.20539428351822</v>
      </c>
      <c r="O42" s="43">
        <f>SUM(E42:N42)</f>
        <v>840.94823051710557</v>
      </c>
      <c r="P42" s="43">
        <f>O42/O41</f>
        <v>8.3424859676446292</v>
      </c>
      <c r="Q42" s="1"/>
      <c r="R42" s="1"/>
      <c r="S42" s="1"/>
      <c r="T42" s="1"/>
      <c r="U42" s="1"/>
      <c r="V42" s="1"/>
      <c r="W42" s="1"/>
      <c r="X42" s="1"/>
      <c r="Y42" s="1"/>
      <c r="Z42" s="1"/>
    </row>
    <row r="43" spans="1:26">
      <c r="A43" s="37" t="s">
        <v>76</v>
      </c>
      <c r="B43" s="37" t="s">
        <v>95</v>
      </c>
      <c r="C43" s="37">
        <v>10</v>
      </c>
      <c r="D43" s="41">
        <v>4.2000000000000003E-2</v>
      </c>
      <c r="E43" s="44">
        <f t="shared" ref="E43:N43" si="23">E$3*(E$3+1)*E41</f>
        <v>8.253358925143953</v>
      </c>
      <c r="F43" s="44">
        <f t="shared" si="23"/>
        <v>23.762069842065124</v>
      </c>
      <c r="G43" s="44">
        <f t="shared" si="23"/>
        <v>45.60857935137259</v>
      </c>
      <c r="H43" s="44">
        <f t="shared" si="23"/>
        <v>72.950382839687435</v>
      </c>
      <c r="I43" s="44">
        <f t="shared" si="23"/>
        <v>105.0149465062679</v>
      </c>
      <c r="J43" s="44">
        <f t="shared" si="23"/>
        <v>141.09493772435223</v>
      </c>
      <c r="K43" s="44">
        <f t="shared" si="23"/>
        <v>180.54374628835862</v>
      </c>
      <c r="L43" s="44">
        <f t="shared" si="23"/>
        <v>222.77128003773339</v>
      </c>
      <c r="M43" s="44">
        <f t="shared" si="23"/>
        <v>267.24001923912351</v>
      </c>
      <c r="N43" s="44">
        <f t="shared" si="23"/>
        <v>7603.2593371187004</v>
      </c>
      <c r="O43" s="44">
        <f>SUM(E43:N43)</f>
        <v>8670.4986578728058</v>
      </c>
      <c r="P43" s="44">
        <f>O43/(O41*(1+D43)^2)</f>
        <v>79.220004212603754</v>
      </c>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2">
    <mergeCell ref="A1:P1"/>
    <mergeCell ref="A2:P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200"/>
  <sheetViews>
    <sheetView showGridLines="0" tabSelected="1" workbookViewId="0">
      <selection sqref="A1:M1"/>
    </sheetView>
  </sheetViews>
  <sheetFormatPr baseColWidth="10" defaultColWidth="9" defaultRowHeight="14.25"/>
  <cols>
    <col min="1" max="2" width="12" customWidth="1"/>
    <col min="3" max="3" width="15" customWidth="1"/>
    <col min="4" max="4" width="3" customWidth="1"/>
    <col min="5" max="5" width="25" customWidth="1"/>
    <col min="6" max="12" width="12" customWidth="1"/>
    <col min="13" max="13" width="30" customWidth="1"/>
  </cols>
  <sheetData>
    <row r="1" spans="1:26" ht="23.25">
      <c r="A1" s="110" t="s">
        <v>96</v>
      </c>
      <c r="B1" s="110" t="s">
        <v>96</v>
      </c>
      <c r="C1" s="110" t="s">
        <v>96</v>
      </c>
      <c r="D1" s="110" t="s">
        <v>96</v>
      </c>
      <c r="E1" s="110" t="s">
        <v>96</v>
      </c>
      <c r="F1" s="110" t="s">
        <v>96</v>
      </c>
      <c r="G1" s="110" t="s">
        <v>96</v>
      </c>
      <c r="H1" s="110" t="s">
        <v>96</v>
      </c>
      <c r="I1" s="110" t="s">
        <v>96</v>
      </c>
      <c r="J1" s="110" t="s">
        <v>96</v>
      </c>
      <c r="K1" s="110" t="s">
        <v>96</v>
      </c>
      <c r="L1" s="110" t="s">
        <v>96</v>
      </c>
      <c r="M1" s="110" t="s">
        <v>96</v>
      </c>
      <c r="N1" s="1"/>
      <c r="O1" s="1"/>
      <c r="P1" s="1"/>
      <c r="Q1" s="1"/>
      <c r="R1" s="1"/>
      <c r="S1" s="1"/>
      <c r="T1" s="1"/>
      <c r="U1" s="1"/>
      <c r="V1" s="1"/>
      <c r="W1" s="1"/>
      <c r="X1" s="1"/>
      <c r="Y1" s="1"/>
      <c r="Z1" s="1"/>
    </row>
    <row r="2" spans="1:26">
      <c r="A2" s="111" t="s">
        <v>97</v>
      </c>
      <c r="B2" s="111" t="s">
        <v>97</v>
      </c>
      <c r="C2" s="111" t="s">
        <v>97</v>
      </c>
      <c r="D2" s="111" t="s">
        <v>97</v>
      </c>
      <c r="E2" s="111" t="s">
        <v>97</v>
      </c>
      <c r="F2" s="111" t="s">
        <v>97</v>
      </c>
      <c r="G2" s="111" t="s">
        <v>97</v>
      </c>
      <c r="H2" s="111" t="s">
        <v>97</v>
      </c>
      <c r="I2" s="111" t="s">
        <v>97</v>
      </c>
      <c r="J2" s="111" t="s">
        <v>97</v>
      </c>
      <c r="K2" s="111" t="s">
        <v>97</v>
      </c>
      <c r="L2" s="111" t="s">
        <v>97</v>
      </c>
      <c r="M2" s="111" t="s">
        <v>97</v>
      </c>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15">
      <c r="A4" s="149" t="s">
        <v>98</v>
      </c>
      <c r="B4" s="149" t="s">
        <v>98</v>
      </c>
      <c r="C4" s="149" t="s">
        <v>98</v>
      </c>
      <c r="D4" s="1"/>
      <c r="E4" s="149" t="s">
        <v>99</v>
      </c>
      <c r="F4" s="149" t="s">
        <v>99</v>
      </c>
      <c r="G4" s="149" t="s">
        <v>99</v>
      </c>
      <c r="H4" s="149" t="s">
        <v>99</v>
      </c>
      <c r="I4" s="149" t="s">
        <v>99</v>
      </c>
      <c r="J4" s="149" t="s">
        <v>99</v>
      </c>
      <c r="K4" s="149" t="s">
        <v>99</v>
      </c>
      <c r="L4" s="149" t="s">
        <v>99</v>
      </c>
      <c r="M4" s="149" t="s">
        <v>99</v>
      </c>
      <c r="N4" s="1"/>
      <c r="O4" s="1"/>
      <c r="P4" s="1"/>
      <c r="Q4" s="1"/>
      <c r="R4" s="1"/>
      <c r="S4" s="1"/>
      <c r="T4" s="1"/>
      <c r="U4" s="1"/>
      <c r="V4" s="1"/>
      <c r="W4" s="1"/>
      <c r="X4" s="1"/>
      <c r="Y4" s="1"/>
      <c r="Z4" s="1"/>
    </row>
    <row r="5" spans="1:26">
      <c r="A5" s="46" t="s">
        <v>89</v>
      </c>
      <c r="B5" s="47" t="s">
        <v>100</v>
      </c>
      <c r="C5" s="48" t="s">
        <v>101</v>
      </c>
      <c r="D5" s="1"/>
      <c r="E5" s="46" t="s">
        <v>102</v>
      </c>
      <c r="F5" s="47" t="s">
        <v>103</v>
      </c>
      <c r="G5" s="47" t="s">
        <v>104</v>
      </c>
      <c r="H5" s="47" t="s">
        <v>105</v>
      </c>
      <c r="I5" s="47" t="s">
        <v>58</v>
      </c>
      <c r="J5" s="47" t="s">
        <v>63</v>
      </c>
      <c r="K5" s="47" t="s">
        <v>67</v>
      </c>
      <c r="L5" s="47" t="s">
        <v>73</v>
      </c>
      <c r="M5" s="48" t="s">
        <v>9</v>
      </c>
      <c r="N5" s="1"/>
      <c r="O5" s="1"/>
      <c r="P5" s="1"/>
      <c r="Q5" s="1"/>
      <c r="R5" s="1"/>
      <c r="S5" s="1"/>
      <c r="T5" s="1"/>
      <c r="U5" s="1"/>
      <c r="V5" s="1"/>
      <c r="W5" s="1"/>
      <c r="X5" s="1"/>
      <c r="Y5" s="1"/>
      <c r="Z5" s="1"/>
    </row>
    <row r="6" spans="1:26">
      <c r="A6" s="49">
        <v>1</v>
      </c>
      <c r="B6" s="50">
        <v>0.02</v>
      </c>
      <c r="C6" s="51" t="s">
        <v>106</v>
      </c>
      <c r="D6" s="1"/>
      <c r="E6" s="55" t="s">
        <v>107</v>
      </c>
      <c r="F6" s="56">
        <v>0</v>
      </c>
      <c r="G6" s="56">
        <v>0</v>
      </c>
      <c r="H6" s="56">
        <v>0</v>
      </c>
      <c r="I6" s="56">
        <v>0</v>
      </c>
      <c r="J6" s="56">
        <v>0</v>
      </c>
      <c r="K6" s="56">
        <v>0</v>
      </c>
      <c r="L6" s="56">
        <v>0</v>
      </c>
      <c r="M6" s="57" t="s">
        <v>108</v>
      </c>
      <c r="N6" s="1"/>
      <c r="O6" s="1"/>
      <c r="P6" s="1"/>
      <c r="Q6" s="1"/>
      <c r="R6" s="1"/>
      <c r="S6" s="1"/>
      <c r="T6" s="1"/>
      <c r="U6" s="1"/>
      <c r="V6" s="1"/>
      <c r="W6" s="1"/>
      <c r="X6" s="1"/>
      <c r="Y6" s="1"/>
      <c r="Z6" s="1"/>
    </row>
    <row r="7" spans="1:26">
      <c r="A7" s="49">
        <v>2</v>
      </c>
      <c r="B7" s="50">
        <v>2.1000000000000001E-2</v>
      </c>
      <c r="C7" s="51" t="s">
        <v>106</v>
      </c>
      <c r="D7" s="1"/>
      <c r="E7" s="55" t="s">
        <v>13</v>
      </c>
      <c r="F7" s="56">
        <v>100</v>
      </c>
      <c r="G7" s="56">
        <v>100</v>
      </c>
      <c r="H7" s="56">
        <v>100</v>
      </c>
      <c r="I7" s="56">
        <v>10</v>
      </c>
      <c r="J7" s="56">
        <v>15</v>
      </c>
      <c r="K7" s="56">
        <v>25</v>
      </c>
      <c r="L7" s="56">
        <v>35</v>
      </c>
      <c r="M7" s="57" t="s">
        <v>109</v>
      </c>
      <c r="N7" s="1"/>
      <c r="O7" s="1"/>
      <c r="P7" s="1"/>
      <c r="Q7" s="1"/>
      <c r="R7" s="1"/>
      <c r="S7" s="1"/>
      <c r="T7" s="1"/>
      <c r="U7" s="1"/>
      <c r="V7" s="1"/>
      <c r="W7" s="1"/>
      <c r="X7" s="1"/>
      <c r="Y7" s="1"/>
      <c r="Z7" s="1"/>
    </row>
    <row r="8" spans="1:26">
      <c r="A8" s="49">
        <v>3</v>
      </c>
      <c r="B8" s="50">
        <v>2.18E-2</v>
      </c>
      <c r="C8" s="51" t="s">
        <v>106</v>
      </c>
      <c r="D8" s="1"/>
      <c r="E8" s="55" t="s">
        <v>110</v>
      </c>
      <c r="F8" s="56">
        <v>-75</v>
      </c>
      <c r="G8" s="56">
        <v>-75</v>
      </c>
      <c r="H8" s="56">
        <v>-75</v>
      </c>
      <c r="I8" s="56">
        <v>-5</v>
      </c>
      <c r="J8" s="56">
        <v>-8</v>
      </c>
      <c r="K8" s="56">
        <v>-10</v>
      </c>
      <c r="L8" s="56">
        <v>-10</v>
      </c>
      <c r="M8" s="57" t="s">
        <v>111</v>
      </c>
      <c r="N8" s="1"/>
      <c r="O8" s="1"/>
      <c r="P8" s="1"/>
      <c r="Q8" s="1"/>
      <c r="R8" s="1"/>
      <c r="S8" s="1"/>
      <c r="T8" s="1"/>
      <c r="U8" s="1"/>
      <c r="V8" s="1"/>
      <c r="W8" s="1"/>
      <c r="X8" s="1"/>
      <c r="Y8" s="1"/>
      <c r="Z8" s="1"/>
    </row>
    <row r="9" spans="1:26">
      <c r="A9" s="49">
        <v>5</v>
      </c>
      <c r="B9" s="50">
        <v>2.35E-2</v>
      </c>
      <c r="C9" s="51" t="s">
        <v>106</v>
      </c>
      <c r="D9" s="1"/>
      <c r="E9" s="55" t="s">
        <v>112</v>
      </c>
      <c r="F9" s="56">
        <v>0</v>
      </c>
      <c r="G9" s="56">
        <v>0</v>
      </c>
      <c r="H9" s="56">
        <v>0</v>
      </c>
      <c r="I9" s="56">
        <v>20</v>
      </c>
      <c r="J9" s="56">
        <v>35</v>
      </c>
      <c r="K9" s="56">
        <v>75</v>
      </c>
      <c r="L9" s="56">
        <v>150</v>
      </c>
      <c r="M9" s="57" t="s">
        <v>113</v>
      </c>
      <c r="N9" s="1"/>
      <c r="O9" s="1"/>
      <c r="P9" s="1"/>
      <c r="Q9" s="1"/>
      <c r="R9" s="1"/>
      <c r="S9" s="1"/>
      <c r="T9" s="1"/>
      <c r="U9" s="1"/>
      <c r="V9" s="1"/>
      <c r="W9" s="1"/>
      <c r="X9" s="1"/>
      <c r="Y9" s="1"/>
      <c r="Z9" s="1"/>
    </row>
    <row r="10" spans="1:26">
      <c r="A10" s="49">
        <v>7</v>
      </c>
      <c r="B10" s="50">
        <v>2.5000000000000001E-2</v>
      </c>
      <c r="C10" s="51" t="s">
        <v>106</v>
      </c>
      <c r="D10" s="1"/>
      <c r="E10" s="58" t="s">
        <v>114</v>
      </c>
      <c r="F10" s="59">
        <v>25</v>
      </c>
      <c r="G10" s="59">
        <v>75</v>
      </c>
      <c r="H10" s="59">
        <v>125</v>
      </c>
      <c r="I10" s="59">
        <v>10</v>
      </c>
      <c r="J10" s="59">
        <v>15</v>
      </c>
      <c r="K10" s="59">
        <v>25</v>
      </c>
      <c r="L10" s="59">
        <v>50</v>
      </c>
      <c r="M10" s="60" t="s">
        <v>115</v>
      </c>
      <c r="N10" s="1"/>
      <c r="O10" s="1"/>
      <c r="P10" s="1"/>
      <c r="Q10" s="1"/>
      <c r="R10" s="1"/>
      <c r="S10" s="1"/>
      <c r="T10" s="1"/>
      <c r="U10" s="1"/>
      <c r="V10" s="1"/>
      <c r="W10" s="1"/>
      <c r="X10" s="1"/>
      <c r="Y10" s="1"/>
      <c r="Z10" s="1"/>
    </row>
    <row r="11" spans="1:26">
      <c r="A11" s="49">
        <v>10</v>
      </c>
      <c r="B11" s="50">
        <v>2.6499999999999999E-2</v>
      </c>
      <c r="C11" s="51" t="s">
        <v>106</v>
      </c>
      <c r="D11" s="1"/>
      <c r="E11" s="1"/>
      <c r="F11" s="1"/>
      <c r="G11" s="1"/>
      <c r="H11" s="1"/>
      <c r="I11" s="1"/>
      <c r="J11" s="1"/>
      <c r="K11" s="1"/>
      <c r="L11" s="1"/>
      <c r="M11" s="1"/>
      <c r="N11" s="1"/>
      <c r="O11" s="1"/>
      <c r="P11" s="1"/>
      <c r="Q11" s="1"/>
      <c r="R11" s="1"/>
      <c r="S11" s="1"/>
      <c r="T11" s="1"/>
      <c r="U11" s="1"/>
      <c r="V11" s="1"/>
      <c r="W11" s="1"/>
      <c r="X11" s="1"/>
      <c r="Y11" s="1"/>
      <c r="Z11" s="1"/>
    </row>
    <row r="12" spans="1:26">
      <c r="A12" s="49">
        <v>15</v>
      </c>
      <c r="B12" s="50">
        <v>2.8199999999999999E-2</v>
      </c>
      <c r="C12" s="51" t="s">
        <v>106</v>
      </c>
      <c r="D12" s="1"/>
      <c r="E12" s="1"/>
      <c r="F12" s="1"/>
      <c r="G12" s="1"/>
      <c r="H12" s="1"/>
      <c r="I12" s="1"/>
      <c r="J12" s="1"/>
      <c r="K12" s="1"/>
      <c r="L12" s="1"/>
      <c r="M12" s="1"/>
      <c r="N12" s="1"/>
      <c r="O12" s="1"/>
      <c r="P12" s="1"/>
      <c r="Q12" s="1"/>
      <c r="R12" s="1"/>
      <c r="S12" s="1"/>
      <c r="T12" s="1"/>
      <c r="U12" s="1"/>
      <c r="V12" s="1"/>
      <c r="W12" s="1"/>
      <c r="X12" s="1"/>
      <c r="Y12" s="1"/>
      <c r="Z12" s="1"/>
    </row>
    <row r="13" spans="1:26">
      <c r="A13" s="52">
        <v>30</v>
      </c>
      <c r="B13" s="53">
        <v>3.0499999999999999E-2</v>
      </c>
      <c r="C13" s="54" t="s">
        <v>106</v>
      </c>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4">
    <mergeCell ref="A1:M1"/>
    <mergeCell ref="A2:M2"/>
    <mergeCell ref="A4:C4"/>
    <mergeCell ref="E4:M4"/>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00"/>
  <sheetViews>
    <sheetView showGridLines="0" topLeftCell="A40" workbookViewId="0">
      <selection activeCell="F58" sqref="F58"/>
    </sheetView>
  </sheetViews>
  <sheetFormatPr baseColWidth="10" defaultColWidth="9" defaultRowHeight="14.25"/>
  <cols>
    <col min="1" max="1" width="25" customWidth="1"/>
    <col min="2" max="2" width="9" customWidth="1"/>
    <col min="3" max="3" width="8" customWidth="1"/>
    <col min="4" max="4" width="11.375" customWidth="1"/>
    <col min="5" max="5" width="16" customWidth="1"/>
    <col min="6" max="6" width="12" customWidth="1"/>
    <col min="7" max="7" width="11" customWidth="1"/>
    <col min="8" max="8" width="13" customWidth="1"/>
    <col min="9" max="9" width="14" customWidth="1"/>
    <col min="10" max="10" width="11" customWidth="1"/>
    <col min="11" max="11" width="15" customWidth="1"/>
    <col min="12" max="12" width="16" customWidth="1"/>
  </cols>
  <sheetData>
    <row r="1" spans="1:26" ht="23.25">
      <c r="A1" s="110" t="s">
        <v>116</v>
      </c>
      <c r="B1" s="110" t="s">
        <v>116</v>
      </c>
      <c r="C1" s="110" t="s">
        <v>116</v>
      </c>
      <c r="D1" s="110" t="s">
        <v>116</v>
      </c>
      <c r="E1" s="110" t="s">
        <v>116</v>
      </c>
      <c r="F1" s="110" t="s">
        <v>116</v>
      </c>
      <c r="G1" s="110" t="s">
        <v>116</v>
      </c>
      <c r="H1" s="110" t="s">
        <v>116</v>
      </c>
      <c r="I1" s="110" t="s">
        <v>116</v>
      </c>
      <c r="J1" s="110" t="s">
        <v>116</v>
      </c>
      <c r="K1" s="110" t="s">
        <v>116</v>
      </c>
      <c r="L1" s="110" t="s">
        <v>116</v>
      </c>
      <c r="M1" s="1"/>
      <c r="N1" s="1"/>
      <c r="O1" s="1"/>
      <c r="P1" s="1"/>
      <c r="Q1" s="1"/>
      <c r="R1" s="1"/>
      <c r="S1" s="1"/>
      <c r="T1" s="1"/>
      <c r="U1" s="1"/>
      <c r="V1" s="1"/>
      <c r="W1" s="1"/>
      <c r="X1" s="1"/>
      <c r="Y1" s="1"/>
      <c r="Z1" s="1"/>
    </row>
    <row r="2" spans="1:26">
      <c r="A2" s="111" t="s">
        <v>117</v>
      </c>
      <c r="B2" s="111" t="s">
        <v>117</v>
      </c>
      <c r="C2" s="111" t="s">
        <v>117</v>
      </c>
      <c r="D2" s="111" t="s">
        <v>117</v>
      </c>
      <c r="E2" s="111" t="s">
        <v>117</v>
      </c>
      <c r="F2" s="111" t="s">
        <v>117</v>
      </c>
      <c r="G2" s="111" t="s">
        <v>117</v>
      </c>
      <c r="H2" s="111" t="s">
        <v>117</v>
      </c>
      <c r="I2" s="111" t="s">
        <v>117</v>
      </c>
      <c r="J2" s="111" t="s">
        <v>117</v>
      </c>
      <c r="K2" s="111" t="s">
        <v>117</v>
      </c>
      <c r="L2" s="111" t="s">
        <v>117</v>
      </c>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2" t="s">
        <v>102</v>
      </c>
      <c r="B4" s="3" t="s">
        <v>87</v>
      </c>
      <c r="C4" s="3" t="s">
        <v>40</v>
      </c>
      <c r="D4" s="3" t="s">
        <v>42</v>
      </c>
      <c r="E4" s="3" t="s">
        <v>47</v>
      </c>
      <c r="F4" s="3" t="s">
        <v>118</v>
      </c>
      <c r="G4" s="3" t="s">
        <v>50</v>
      </c>
      <c r="H4" s="3" t="s">
        <v>119</v>
      </c>
      <c r="I4" s="3" t="s">
        <v>120</v>
      </c>
      <c r="J4" s="3" t="s">
        <v>121</v>
      </c>
      <c r="K4" s="3" t="s">
        <v>122</v>
      </c>
      <c r="L4" s="4" t="s">
        <v>123</v>
      </c>
      <c r="M4" s="1"/>
      <c r="N4" s="1"/>
      <c r="O4" s="1"/>
      <c r="P4" s="1"/>
      <c r="Q4" s="1"/>
      <c r="R4" s="1"/>
      <c r="S4" s="1"/>
      <c r="T4" s="1"/>
      <c r="U4" s="1"/>
      <c r="V4" s="1"/>
      <c r="W4" s="1"/>
      <c r="X4" s="1"/>
      <c r="Y4" s="1"/>
      <c r="Z4" s="1"/>
    </row>
    <row r="5" spans="1:26">
      <c r="A5" s="64" t="s">
        <v>107</v>
      </c>
      <c r="B5" s="64" t="s">
        <v>55</v>
      </c>
      <c r="C5" s="64" t="s">
        <v>58</v>
      </c>
      <c r="D5" s="64">
        <v>1</v>
      </c>
      <c r="E5" s="65">
        <f>Portefeuille!$K$5</f>
        <v>1958863.8589618024</v>
      </c>
      <c r="F5" s="66">
        <f>Portefeuille!$M$5</f>
        <v>0.97943192948090119</v>
      </c>
      <c r="G5" s="66">
        <f>Portefeuille!$N$5</f>
        <v>1.9185738089733622</v>
      </c>
      <c r="H5" s="67">
        <f>IF(D5&lt;=3,'Courbe Scenarios'!$F$6,IF(D5&lt;=7,'Courbe Scenarios'!$G$6,'Courbe Scenarios'!$H$6))</f>
        <v>0</v>
      </c>
      <c r="I5" s="67">
        <f>IF(C5="AAA",'Courbe Scenarios'!$I$6,IF(C5="AA",'Courbe Scenarios'!$J$6,IF(C5="A",'Courbe Scenarios'!$K$6,'Courbe Scenarios'!$L$6)))</f>
        <v>0</v>
      </c>
      <c r="J5" s="68">
        <f t="shared" ref="J5:J44" si="0">(H5+I5)/10000</f>
        <v>0</v>
      </c>
      <c r="K5" s="69">
        <f t="shared" ref="K5:K44" si="1">E5*(-F5*J5+0.5*G5*J5^2)</f>
        <v>0</v>
      </c>
      <c r="L5" s="69">
        <f t="shared" ref="L5:L44" si="2">E5+K5</f>
        <v>1958863.8589618024</v>
      </c>
      <c r="M5" s="1"/>
      <c r="N5" s="1"/>
      <c r="O5" s="1"/>
      <c r="P5" s="1"/>
      <c r="Q5" s="1"/>
      <c r="R5" s="1"/>
      <c r="S5" s="1"/>
      <c r="T5" s="1"/>
      <c r="U5" s="1"/>
      <c r="V5" s="1"/>
      <c r="W5" s="1"/>
      <c r="X5" s="1"/>
      <c r="Y5" s="1"/>
      <c r="Z5" s="1"/>
    </row>
    <row r="6" spans="1:26">
      <c r="A6" s="70" t="s">
        <v>107</v>
      </c>
      <c r="B6" s="70" t="s">
        <v>59</v>
      </c>
      <c r="C6" s="70" t="s">
        <v>58</v>
      </c>
      <c r="D6" s="70">
        <v>3</v>
      </c>
      <c r="E6" s="71">
        <f>Portefeuille!$K$6</f>
        <v>1787085.4641040075</v>
      </c>
      <c r="F6" s="72">
        <f>Portefeuille!$M$6</f>
        <v>2.8766061252534967</v>
      </c>
      <c r="G6" s="72">
        <f>Portefeuille!$N$6</f>
        <v>11.178681223245862</v>
      </c>
      <c r="H6" s="73">
        <f>IF(D6&lt;=3,'Courbe Scenarios'!$F$6,IF(D6&lt;=7,'Courbe Scenarios'!$G$6,'Courbe Scenarios'!$H$6))</f>
        <v>0</v>
      </c>
      <c r="I6" s="73">
        <f>IF(C6="AAA",'Courbe Scenarios'!$I$6,IF(C6="AA",'Courbe Scenarios'!$J$6,IF(C6="A",'Courbe Scenarios'!$K$6,'Courbe Scenarios'!$L$6)))</f>
        <v>0</v>
      </c>
      <c r="J6" s="74">
        <f t="shared" si="0"/>
        <v>0</v>
      </c>
      <c r="K6" s="75">
        <f t="shared" si="1"/>
        <v>0</v>
      </c>
      <c r="L6" s="75">
        <f t="shared" si="2"/>
        <v>1787085.4641040075</v>
      </c>
      <c r="M6" s="1"/>
      <c r="N6" s="1"/>
      <c r="O6" s="1"/>
      <c r="P6" s="1"/>
      <c r="Q6" s="1"/>
      <c r="R6" s="1"/>
      <c r="S6" s="1"/>
      <c r="T6" s="1"/>
      <c r="U6" s="1"/>
      <c r="V6" s="1"/>
      <c r="W6" s="1"/>
      <c r="X6" s="1"/>
      <c r="Y6" s="1"/>
      <c r="Z6" s="1"/>
    </row>
    <row r="7" spans="1:26">
      <c r="A7" s="70" t="s">
        <v>107</v>
      </c>
      <c r="B7" s="70" t="s">
        <v>61</v>
      </c>
      <c r="C7" s="70" t="s">
        <v>63</v>
      </c>
      <c r="D7" s="70">
        <v>6</v>
      </c>
      <c r="E7" s="71">
        <f>Portefeuille!$K$7</f>
        <v>1520655.4701059249</v>
      </c>
      <c r="F7" s="72">
        <f>Portefeuille!$M$7</f>
        <v>5.4787348606001522</v>
      </c>
      <c r="G7" s="72">
        <f>Portefeuille!$N$7</f>
        <v>36.576186545709014</v>
      </c>
      <c r="H7" s="73">
        <f>IF(D7&lt;=3,'Courbe Scenarios'!$F$6,IF(D7&lt;=7,'Courbe Scenarios'!$G$6,'Courbe Scenarios'!$H$6))</f>
        <v>0</v>
      </c>
      <c r="I7" s="73">
        <f>IF(C7="AAA",'Courbe Scenarios'!$I$6,IF(C7="AA",'Courbe Scenarios'!$J$6,IF(C7="A",'Courbe Scenarios'!$K$6,'Courbe Scenarios'!$L$6)))</f>
        <v>0</v>
      </c>
      <c r="J7" s="74">
        <f t="shared" si="0"/>
        <v>0</v>
      </c>
      <c r="K7" s="75">
        <f t="shared" si="1"/>
        <v>0</v>
      </c>
      <c r="L7" s="75">
        <f t="shared" si="2"/>
        <v>1520655.4701059249</v>
      </c>
      <c r="M7" s="1"/>
      <c r="N7" s="1"/>
      <c r="O7" s="1"/>
      <c r="P7" s="1"/>
      <c r="Q7" s="1"/>
      <c r="R7" s="1"/>
      <c r="S7" s="1"/>
      <c r="T7" s="1"/>
      <c r="U7" s="1"/>
      <c r="V7" s="1"/>
      <c r="W7" s="1"/>
      <c r="X7" s="1"/>
      <c r="Y7" s="1"/>
      <c r="Z7" s="1"/>
    </row>
    <row r="8" spans="1:26">
      <c r="A8" s="70" t="s">
        <v>107</v>
      </c>
      <c r="B8" s="70" t="s">
        <v>64</v>
      </c>
      <c r="C8" s="70" t="s">
        <v>67</v>
      </c>
      <c r="D8" s="70">
        <v>2</v>
      </c>
      <c r="E8" s="71">
        <f>Portefeuille!$K$8</f>
        <v>1204592.3272692997</v>
      </c>
      <c r="F8" s="72">
        <f>Portefeuille!$M$8</f>
        <v>1.9116994958924571</v>
      </c>
      <c r="G8" s="72">
        <f>Portefeuille!$N$8</f>
        <v>5.5388838939362097</v>
      </c>
      <c r="H8" s="73">
        <f>IF(D8&lt;=3,'Courbe Scenarios'!$F$6,IF(D8&lt;=7,'Courbe Scenarios'!$G$6,'Courbe Scenarios'!$H$6))</f>
        <v>0</v>
      </c>
      <c r="I8" s="73">
        <f>IF(C8="AAA",'Courbe Scenarios'!$I$6,IF(C8="AA",'Courbe Scenarios'!$J$6,IF(C8="A",'Courbe Scenarios'!$K$6,'Courbe Scenarios'!$L$6)))</f>
        <v>0</v>
      </c>
      <c r="J8" s="74">
        <f t="shared" si="0"/>
        <v>0</v>
      </c>
      <c r="K8" s="75">
        <f t="shared" si="1"/>
        <v>0</v>
      </c>
      <c r="L8" s="75">
        <f t="shared" si="2"/>
        <v>1204592.3272692997</v>
      </c>
      <c r="M8" s="1"/>
      <c r="N8" s="1"/>
      <c r="O8" s="1"/>
      <c r="P8" s="1"/>
      <c r="Q8" s="1"/>
      <c r="R8" s="1"/>
      <c r="S8" s="1"/>
      <c r="T8" s="1"/>
      <c r="U8" s="1"/>
      <c r="V8" s="1"/>
      <c r="W8" s="1"/>
      <c r="X8" s="1"/>
      <c r="Y8" s="1"/>
      <c r="Z8" s="1"/>
    </row>
    <row r="9" spans="1:26">
      <c r="A9" s="70" t="s">
        <v>107</v>
      </c>
      <c r="B9" s="70" t="s">
        <v>68</v>
      </c>
      <c r="C9" s="70" t="s">
        <v>67</v>
      </c>
      <c r="D9" s="70">
        <v>4</v>
      </c>
      <c r="E9" s="71">
        <f>Portefeuille!$K$9</f>
        <v>1012886.3544436438</v>
      </c>
      <c r="F9" s="72">
        <f>Portefeuille!$M$9</f>
        <v>3.6652201015021948</v>
      </c>
      <c r="G9" s="72">
        <f>Portefeuille!$N$9</f>
        <v>17.399509650414146</v>
      </c>
      <c r="H9" s="73">
        <f>IF(D9&lt;=3,'Courbe Scenarios'!$F$6,IF(D9&lt;=7,'Courbe Scenarios'!$G$6,'Courbe Scenarios'!$H$6))</f>
        <v>0</v>
      </c>
      <c r="I9" s="73">
        <f>IF(C9="AAA",'Courbe Scenarios'!$I$6,IF(C9="AA",'Courbe Scenarios'!$J$6,IF(C9="A",'Courbe Scenarios'!$K$6,'Courbe Scenarios'!$L$6)))</f>
        <v>0</v>
      </c>
      <c r="J9" s="74">
        <f t="shared" si="0"/>
        <v>0</v>
      </c>
      <c r="K9" s="75">
        <f t="shared" si="1"/>
        <v>0</v>
      </c>
      <c r="L9" s="75">
        <f t="shared" si="2"/>
        <v>1012886.3544436438</v>
      </c>
      <c r="M9" s="1"/>
      <c r="N9" s="1"/>
      <c r="O9" s="1"/>
      <c r="P9" s="1"/>
      <c r="Q9" s="1"/>
      <c r="R9" s="1"/>
      <c r="S9" s="1"/>
      <c r="T9" s="1"/>
      <c r="U9" s="1"/>
      <c r="V9" s="1"/>
      <c r="W9" s="1"/>
      <c r="X9" s="1"/>
      <c r="Y9" s="1"/>
      <c r="Z9" s="1"/>
    </row>
    <row r="10" spans="1:26">
      <c r="A10" s="70" t="s">
        <v>107</v>
      </c>
      <c r="B10" s="70" t="s">
        <v>71</v>
      </c>
      <c r="C10" s="70" t="s">
        <v>73</v>
      </c>
      <c r="D10" s="70">
        <v>5</v>
      </c>
      <c r="E10" s="71">
        <f>Portefeuille!$K$10</f>
        <v>908035.84136406402</v>
      </c>
      <c r="F10" s="72">
        <f>Portefeuille!$M$10</f>
        <v>4.4497493306267186</v>
      </c>
      <c r="G10" s="72">
        <f>Portefeuille!$N$10</f>
        <v>25.011612335655869</v>
      </c>
      <c r="H10" s="73">
        <f>IF(D10&lt;=3,'Courbe Scenarios'!$F$6,IF(D10&lt;=7,'Courbe Scenarios'!$G$6,'Courbe Scenarios'!$H$6))</f>
        <v>0</v>
      </c>
      <c r="I10" s="73">
        <f>IF(C10="AAA",'Courbe Scenarios'!$I$6,IF(C10="AA",'Courbe Scenarios'!$J$6,IF(C10="A",'Courbe Scenarios'!$K$6,'Courbe Scenarios'!$L$6)))</f>
        <v>0</v>
      </c>
      <c r="J10" s="74">
        <f t="shared" si="0"/>
        <v>0</v>
      </c>
      <c r="K10" s="75">
        <f t="shared" si="1"/>
        <v>0</v>
      </c>
      <c r="L10" s="75">
        <f t="shared" si="2"/>
        <v>908035.84136406402</v>
      </c>
      <c r="M10" s="1"/>
      <c r="N10" s="1"/>
      <c r="O10" s="1"/>
      <c r="P10" s="1"/>
      <c r="Q10" s="1"/>
      <c r="R10" s="1"/>
      <c r="S10" s="1"/>
      <c r="T10" s="1"/>
      <c r="U10" s="1"/>
      <c r="V10" s="1"/>
      <c r="W10" s="1"/>
      <c r="X10" s="1"/>
      <c r="Y10" s="1"/>
      <c r="Z10" s="1"/>
    </row>
    <row r="11" spans="1:26">
      <c r="A11" s="70" t="s">
        <v>107</v>
      </c>
      <c r="B11" s="70" t="s">
        <v>74</v>
      </c>
      <c r="C11" s="70" t="s">
        <v>73</v>
      </c>
      <c r="D11" s="70">
        <v>8</v>
      </c>
      <c r="E11" s="71">
        <f>Portefeuille!$K$11</f>
        <v>1130119.5708561703</v>
      </c>
      <c r="F11" s="72">
        <f>Portefeuille!$M$11</f>
        <v>6.7739116040452849</v>
      </c>
      <c r="G11" s="72">
        <f>Portefeuille!$N$11</f>
        <v>56.196614034974502</v>
      </c>
      <c r="H11" s="73">
        <f>IF(D11&lt;=3,'Courbe Scenarios'!$F$6,IF(D11&lt;=7,'Courbe Scenarios'!$G$6,'Courbe Scenarios'!$H$6))</f>
        <v>0</v>
      </c>
      <c r="I11" s="73">
        <f>IF(C11="AAA",'Courbe Scenarios'!$I$6,IF(C11="AA",'Courbe Scenarios'!$J$6,IF(C11="A",'Courbe Scenarios'!$K$6,'Courbe Scenarios'!$L$6)))</f>
        <v>0</v>
      </c>
      <c r="J11" s="74">
        <f t="shared" si="0"/>
        <v>0</v>
      </c>
      <c r="K11" s="75">
        <f t="shared" si="1"/>
        <v>0</v>
      </c>
      <c r="L11" s="75">
        <f t="shared" si="2"/>
        <v>1130119.5708561703</v>
      </c>
      <c r="M11" s="1"/>
      <c r="N11" s="1"/>
      <c r="O11" s="1"/>
      <c r="P11" s="1"/>
      <c r="Q11" s="1"/>
      <c r="R11" s="1"/>
      <c r="S11" s="1"/>
      <c r="T11" s="1"/>
      <c r="U11" s="1"/>
      <c r="V11" s="1"/>
      <c r="W11" s="1"/>
      <c r="X11" s="1"/>
      <c r="Y11" s="1"/>
      <c r="Z11" s="1"/>
    </row>
    <row r="12" spans="1:26">
      <c r="A12" s="70" t="s">
        <v>107</v>
      </c>
      <c r="B12" s="70" t="s">
        <v>76</v>
      </c>
      <c r="C12" s="70" t="s">
        <v>73</v>
      </c>
      <c r="D12" s="70">
        <v>10</v>
      </c>
      <c r="E12" s="71">
        <f>Portefeuille!$K$12</f>
        <v>705621.51814823365</v>
      </c>
      <c r="F12" s="72">
        <f>Portefeuille!$M$12</f>
        <v>8.0062245370869753</v>
      </c>
      <c r="G12" s="72">
        <f>Portefeuille!$N$12</f>
        <v>79.220004212603754</v>
      </c>
      <c r="H12" s="73">
        <f>IF(D12&lt;=3,'Courbe Scenarios'!$F$6,IF(D12&lt;=7,'Courbe Scenarios'!$G$6,'Courbe Scenarios'!$H$6))</f>
        <v>0</v>
      </c>
      <c r="I12" s="73">
        <f>IF(C12="AAA",'Courbe Scenarios'!$I$6,IF(C12="AA",'Courbe Scenarios'!$J$6,IF(C12="A",'Courbe Scenarios'!$K$6,'Courbe Scenarios'!$L$6)))</f>
        <v>0</v>
      </c>
      <c r="J12" s="74">
        <f t="shared" si="0"/>
        <v>0</v>
      </c>
      <c r="K12" s="75">
        <f t="shared" si="1"/>
        <v>0</v>
      </c>
      <c r="L12" s="75">
        <f t="shared" si="2"/>
        <v>705621.51814823365</v>
      </c>
      <c r="M12" s="1"/>
      <c r="N12" s="1"/>
      <c r="O12" s="1"/>
      <c r="P12" s="1"/>
      <c r="Q12" s="1"/>
      <c r="R12" s="1"/>
      <c r="S12" s="1"/>
      <c r="T12" s="1"/>
      <c r="U12" s="1"/>
      <c r="V12" s="1"/>
      <c r="W12" s="1"/>
      <c r="X12" s="1"/>
      <c r="Y12" s="1"/>
      <c r="Z12" s="1"/>
    </row>
    <row r="13" spans="1:26">
      <c r="A13" s="29" t="s">
        <v>13</v>
      </c>
      <c r="B13" s="29" t="s">
        <v>55</v>
      </c>
      <c r="C13" s="29" t="s">
        <v>58</v>
      </c>
      <c r="D13" s="29">
        <v>1</v>
      </c>
      <c r="E13" s="61">
        <f>Portefeuille!$K$5</f>
        <v>1958863.8589618024</v>
      </c>
      <c r="F13" s="23">
        <f>Portefeuille!$M$5</f>
        <v>0.97943192948090119</v>
      </c>
      <c r="G13" s="23">
        <f>Portefeuille!$N$5</f>
        <v>1.9185738089733622</v>
      </c>
      <c r="H13" s="62">
        <f>IF(D13&lt;=3,'Courbe Scenarios'!$F$7,IF(D13&lt;=7,'Courbe Scenarios'!$G$7,'Courbe Scenarios'!$H$7))</f>
        <v>100</v>
      </c>
      <c r="I13" s="62">
        <f>IF(C13="AAA",'Courbe Scenarios'!$I$7,IF(C13="AA",'Courbe Scenarios'!$J$7,IF(C13="A",'Courbe Scenarios'!$K$7,'Courbe Scenarios'!$L$7)))</f>
        <v>10</v>
      </c>
      <c r="J13" s="63">
        <f t="shared" si="0"/>
        <v>1.0999999999999999E-2</v>
      </c>
      <c r="K13" s="24">
        <f t="shared" si="1"/>
        <v>-20876.939292550491</v>
      </c>
      <c r="L13" s="24">
        <f t="shared" si="2"/>
        <v>1937986.9196692519</v>
      </c>
      <c r="M13" s="1"/>
      <c r="N13" s="1"/>
      <c r="O13" s="1"/>
      <c r="P13" s="1"/>
      <c r="Q13" s="1"/>
      <c r="R13" s="1"/>
      <c r="S13" s="1"/>
      <c r="T13" s="1"/>
      <c r="U13" s="1"/>
      <c r="V13" s="1"/>
      <c r="W13" s="1"/>
      <c r="X13" s="1"/>
      <c r="Y13" s="1"/>
      <c r="Z13" s="1"/>
    </row>
    <row r="14" spans="1:26">
      <c r="A14" s="29" t="s">
        <v>13</v>
      </c>
      <c r="B14" s="29" t="s">
        <v>59</v>
      </c>
      <c r="C14" s="29" t="s">
        <v>58</v>
      </c>
      <c r="D14" s="29">
        <v>3</v>
      </c>
      <c r="E14" s="61">
        <f>Portefeuille!$K$6</f>
        <v>1787085.4641040075</v>
      </c>
      <c r="F14" s="23">
        <f>Portefeuille!$M$6</f>
        <v>2.8766061252534967</v>
      </c>
      <c r="G14" s="23">
        <f>Portefeuille!$N$6</f>
        <v>11.178681223245862</v>
      </c>
      <c r="H14" s="62">
        <f>IF(D14&lt;=3,'Courbe Scenarios'!$F$7,IF(D14&lt;=7,'Courbe Scenarios'!$G$7,'Courbe Scenarios'!$H$7))</f>
        <v>100</v>
      </c>
      <c r="I14" s="62">
        <f>IF(C14="AAA",'Courbe Scenarios'!$I$7,IF(C14="AA",'Courbe Scenarios'!$J$7,IF(C14="A",'Courbe Scenarios'!$K$7,'Courbe Scenarios'!$L$7)))</f>
        <v>10</v>
      </c>
      <c r="J14" s="63">
        <f t="shared" si="0"/>
        <v>1.0999999999999999E-2</v>
      </c>
      <c r="K14" s="24">
        <f t="shared" si="1"/>
        <v>-55339.526763647962</v>
      </c>
      <c r="L14" s="24">
        <f t="shared" si="2"/>
        <v>1731745.9373403594</v>
      </c>
      <c r="M14" s="1"/>
      <c r="N14" s="1"/>
      <c r="O14" s="1"/>
      <c r="P14" s="1"/>
      <c r="Q14" s="1"/>
      <c r="R14" s="1"/>
      <c r="S14" s="1"/>
      <c r="T14" s="1"/>
      <c r="U14" s="1"/>
      <c r="V14" s="1"/>
      <c r="W14" s="1"/>
      <c r="X14" s="1"/>
      <c r="Y14" s="1"/>
      <c r="Z14" s="1"/>
    </row>
    <row r="15" spans="1:26">
      <c r="A15" s="29" t="s">
        <v>13</v>
      </c>
      <c r="B15" s="29" t="s">
        <v>61</v>
      </c>
      <c r="C15" s="29" t="s">
        <v>63</v>
      </c>
      <c r="D15" s="29">
        <v>6</v>
      </c>
      <c r="E15" s="61">
        <f>Portefeuille!$K$7</f>
        <v>1520655.4701059249</v>
      </c>
      <c r="F15" s="23">
        <f>Portefeuille!$M$7</f>
        <v>5.4787348606001522</v>
      </c>
      <c r="G15" s="23">
        <f>Portefeuille!$N$7</f>
        <v>36.576186545709014</v>
      </c>
      <c r="H15" s="62">
        <f>IF(D15&lt;=3,'Courbe Scenarios'!$F$7,IF(D15&lt;=7,'Courbe Scenarios'!$G$7,'Courbe Scenarios'!$H$7))</f>
        <v>100</v>
      </c>
      <c r="I15" s="62">
        <f>IF(C15="AAA",'Courbe Scenarios'!$I$7,IF(C15="AA",'Courbe Scenarios'!$J$7,IF(C15="A",'Courbe Scenarios'!$K$7,'Courbe Scenarios'!$L$7)))</f>
        <v>15</v>
      </c>
      <c r="J15" s="63">
        <f t="shared" si="0"/>
        <v>1.15E-2</v>
      </c>
      <c r="K15" s="24">
        <f t="shared" si="1"/>
        <v>-92131.725722936695</v>
      </c>
      <c r="L15" s="24">
        <f t="shared" si="2"/>
        <v>1428523.7443829882</v>
      </c>
      <c r="M15" s="1"/>
      <c r="N15" s="1"/>
      <c r="O15" s="1"/>
      <c r="P15" s="1"/>
      <c r="Q15" s="1"/>
      <c r="R15" s="1"/>
      <c r="S15" s="1"/>
      <c r="T15" s="1"/>
      <c r="U15" s="1"/>
      <c r="V15" s="1"/>
      <c r="W15" s="1"/>
      <c r="X15" s="1"/>
      <c r="Y15" s="1"/>
      <c r="Z15" s="1"/>
    </row>
    <row r="16" spans="1:26">
      <c r="A16" s="29" t="s">
        <v>13</v>
      </c>
      <c r="B16" s="29" t="s">
        <v>64</v>
      </c>
      <c r="C16" s="29" t="s">
        <v>67</v>
      </c>
      <c r="D16" s="29">
        <v>2</v>
      </c>
      <c r="E16" s="61">
        <f>Portefeuille!$K$8</f>
        <v>1204592.3272692997</v>
      </c>
      <c r="F16" s="23">
        <f>Portefeuille!$M$8</f>
        <v>1.9116994958924571</v>
      </c>
      <c r="G16" s="23">
        <f>Portefeuille!$N$8</f>
        <v>5.5388838939362097</v>
      </c>
      <c r="H16" s="62">
        <f>IF(D16&lt;=3,'Courbe Scenarios'!$F$7,IF(D16&lt;=7,'Courbe Scenarios'!$G$7,'Courbe Scenarios'!$H$7))</f>
        <v>100</v>
      </c>
      <c r="I16" s="62">
        <f>IF(C16="AAA",'Courbe Scenarios'!$I$7,IF(C16="AA",'Courbe Scenarios'!$J$7,IF(C16="A",'Courbe Scenarios'!$K$7,'Courbe Scenarios'!$L$7)))</f>
        <v>25</v>
      </c>
      <c r="J16" s="63">
        <f t="shared" si="0"/>
        <v>1.2500000000000001E-2</v>
      </c>
      <c r="K16" s="24">
        <f t="shared" si="1"/>
        <v>-28263.974228686846</v>
      </c>
      <c r="L16" s="24">
        <f t="shared" si="2"/>
        <v>1176328.3530406128</v>
      </c>
      <c r="M16" s="1"/>
      <c r="N16" s="1"/>
      <c r="O16" s="1"/>
      <c r="P16" s="1"/>
      <c r="Q16" s="1"/>
      <c r="R16" s="1"/>
      <c r="S16" s="1"/>
      <c r="T16" s="1"/>
      <c r="U16" s="1"/>
      <c r="V16" s="1"/>
      <c r="W16" s="1"/>
      <c r="X16" s="1"/>
      <c r="Y16" s="1"/>
      <c r="Z16" s="1"/>
    </row>
    <row r="17" spans="1:26">
      <c r="A17" s="29" t="s">
        <v>13</v>
      </c>
      <c r="B17" s="29" t="s">
        <v>68</v>
      </c>
      <c r="C17" s="29" t="s">
        <v>67</v>
      </c>
      <c r="D17" s="29">
        <v>4</v>
      </c>
      <c r="E17" s="61">
        <f>Portefeuille!$K$9</f>
        <v>1012886.3544436438</v>
      </c>
      <c r="F17" s="23">
        <f>Portefeuille!$M$9</f>
        <v>3.6652201015021948</v>
      </c>
      <c r="G17" s="23">
        <f>Portefeuille!$N$9</f>
        <v>17.399509650414146</v>
      </c>
      <c r="H17" s="62">
        <f>IF(D17&lt;=3,'Courbe Scenarios'!$F$7,IF(D17&lt;=7,'Courbe Scenarios'!$G$7,'Courbe Scenarios'!$H$7))</f>
        <v>100</v>
      </c>
      <c r="I17" s="62">
        <f>IF(C17="AAA",'Courbe Scenarios'!$I$7,IF(C17="AA",'Courbe Scenarios'!$J$7,IF(C17="A",'Courbe Scenarios'!$K$7,'Courbe Scenarios'!$L$7)))</f>
        <v>25</v>
      </c>
      <c r="J17" s="63">
        <f t="shared" si="0"/>
        <v>1.2500000000000001E-2</v>
      </c>
      <c r="K17" s="24">
        <f t="shared" si="1"/>
        <v>-45028.789249698777</v>
      </c>
      <c r="L17" s="24">
        <f t="shared" si="2"/>
        <v>967857.56519394508</v>
      </c>
      <c r="M17" s="1"/>
      <c r="N17" s="1"/>
      <c r="O17" s="1"/>
      <c r="P17" s="1"/>
      <c r="Q17" s="1"/>
      <c r="R17" s="1"/>
      <c r="S17" s="1"/>
      <c r="T17" s="1"/>
      <c r="U17" s="1"/>
      <c r="V17" s="1"/>
      <c r="W17" s="1"/>
      <c r="X17" s="1"/>
      <c r="Y17" s="1"/>
      <c r="Z17" s="1"/>
    </row>
    <row r="18" spans="1:26">
      <c r="A18" s="29" t="s">
        <v>13</v>
      </c>
      <c r="B18" s="29" t="s">
        <v>71</v>
      </c>
      <c r="C18" s="29" t="s">
        <v>73</v>
      </c>
      <c r="D18" s="29">
        <v>5</v>
      </c>
      <c r="E18" s="61">
        <f>Portefeuille!$K$10</f>
        <v>908035.84136406402</v>
      </c>
      <c r="F18" s="23">
        <f>Portefeuille!$M$10</f>
        <v>4.4497493306267186</v>
      </c>
      <c r="G18" s="23">
        <f>Portefeuille!$N$10</f>
        <v>25.011612335655869</v>
      </c>
      <c r="H18" s="62">
        <f>IF(D18&lt;=3,'Courbe Scenarios'!$F$7,IF(D18&lt;=7,'Courbe Scenarios'!$G$7,'Courbe Scenarios'!$H$7))</f>
        <v>100</v>
      </c>
      <c r="I18" s="62">
        <f>IF(C18="AAA",'Courbe Scenarios'!$I$7,IF(C18="AA",'Courbe Scenarios'!$J$7,IF(C18="A",'Courbe Scenarios'!$K$7,'Courbe Scenarios'!$L$7)))</f>
        <v>35</v>
      </c>
      <c r="J18" s="63">
        <f t="shared" si="0"/>
        <v>1.35E-2</v>
      </c>
      <c r="K18" s="24">
        <f t="shared" si="1"/>
        <v>-52477.600332375398</v>
      </c>
      <c r="L18" s="24">
        <f t="shared" si="2"/>
        <v>855558.24103168864</v>
      </c>
      <c r="M18" s="1"/>
      <c r="N18" s="1"/>
      <c r="O18" s="1"/>
      <c r="P18" s="1"/>
      <c r="Q18" s="1"/>
      <c r="R18" s="1"/>
      <c r="S18" s="1"/>
      <c r="T18" s="1"/>
      <c r="U18" s="1"/>
      <c r="V18" s="1"/>
      <c r="W18" s="1"/>
      <c r="X18" s="1"/>
      <c r="Y18" s="1"/>
      <c r="Z18" s="1"/>
    </row>
    <row r="19" spans="1:26">
      <c r="A19" s="29" t="s">
        <v>13</v>
      </c>
      <c r="B19" s="29" t="s">
        <v>74</v>
      </c>
      <c r="C19" s="29" t="s">
        <v>73</v>
      </c>
      <c r="D19" s="29">
        <v>8</v>
      </c>
      <c r="E19" s="61">
        <f>Portefeuille!$K$11</f>
        <v>1130119.5708561703</v>
      </c>
      <c r="F19" s="23">
        <f>Portefeuille!$M$11</f>
        <v>6.7739116040452849</v>
      </c>
      <c r="G19" s="23">
        <f>Portefeuille!$N$11</f>
        <v>56.196614034974502</v>
      </c>
      <c r="H19" s="62">
        <f>IF(D19&lt;=3,'Courbe Scenarios'!$F$7,IF(D19&lt;=7,'Courbe Scenarios'!$G$7,'Courbe Scenarios'!$H$7))</f>
        <v>100</v>
      </c>
      <c r="I19" s="62">
        <f>IF(C19="AAA",'Courbe Scenarios'!$I$7,IF(C19="AA",'Courbe Scenarios'!$J$7,IF(C19="A",'Courbe Scenarios'!$K$7,'Courbe Scenarios'!$L$7)))</f>
        <v>35</v>
      </c>
      <c r="J19" s="63">
        <f t="shared" si="0"/>
        <v>1.35E-2</v>
      </c>
      <c r="K19" s="24">
        <f t="shared" si="1"/>
        <v>-97559.708106933773</v>
      </c>
      <c r="L19" s="24">
        <f t="shared" si="2"/>
        <v>1032559.8627492365</v>
      </c>
      <c r="M19" s="1"/>
      <c r="N19" s="1"/>
      <c r="O19" s="1"/>
      <c r="P19" s="1"/>
      <c r="Q19" s="1"/>
      <c r="R19" s="1"/>
      <c r="S19" s="1"/>
      <c r="T19" s="1"/>
      <c r="U19" s="1"/>
      <c r="V19" s="1"/>
      <c r="W19" s="1"/>
      <c r="X19" s="1"/>
      <c r="Y19" s="1"/>
      <c r="Z19" s="1"/>
    </row>
    <row r="20" spans="1:26">
      <c r="A20" s="29" t="s">
        <v>13</v>
      </c>
      <c r="B20" s="29" t="s">
        <v>76</v>
      </c>
      <c r="C20" s="29" t="s">
        <v>73</v>
      </c>
      <c r="D20" s="29">
        <v>10</v>
      </c>
      <c r="E20" s="61">
        <f>Portefeuille!$K$12</f>
        <v>705621.51814823365</v>
      </c>
      <c r="F20" s="23">
        <f>Portefeuille!$M$12</f>
        <v>8.0062245370869753</v>
      </c>
      <c r="G20" s="23">
        <f>Portefeuille!$N$12</f>
        <v>79.220004212603754</v>
      </c>
      <c r="H20" s="62">
        <f>IF(D20&lt;=3,'Courbe Scenarios'!$F$7,IF(D20&lt;=7,'Courbe Scenarios'!$G$7,'Courbe Scenarios'!$H$7))</f>
        <v>100</v>
      </c>
      <c r="I20" s="62">
        <f>IF(C20="AAA",'Courbe Scenarios'!$I$7,IF(C20="AA",'Courbe Scenarios'!$J$7,IF(C20="A",'Courbe Scenarios'!$K$7,'Courbe Scenarios'!$L$7)))</f>
        <v>35</v>
      </c>
      <c r="J20" s="63">
        <f t="shared" si="0"/>
        <v>1.35E-2</v>
      </c>
      <c r="K20" s="24">
        <f t="shared" si="1"/>
        <v>-71172.590893967965</v>
      </c>
      <c r="L20" s="24">
        <f t="shared" si="2"/>
        <v>634448.92725426564</v>
      </c>
      <c r="M20" s="1"/>
      <c r="N20" s="1"/>
      <c r="O20" s="1"/>
      <c r="P20" s="1"/>
      <c r="Q20" s="1"/>
      <c r="R20" s="1"/>
      <c r="S20" s="1"/>
      <c r="T20" s="1"/>
      <c r="U20" s="1"/>
      <c r="V20" s="1"/>
      <c r="W20" s="1"/>
      <c r="X20" s="1"/>
      <c r="Y20" s="1"/>
      <c r="Z20" s="1"/>
    </row>
    <row r="21" spans="1:26">
      <c r="A21" s="70" t="s">
        <v>110</v>
      </c>
      <c r="B21" s="70" t="s">
        <v>55</v>
      </c>
      <c r="C21" s="70" t="s">
        <v>58</v>
      </c>
      <c r="D21" s="70">
        <v>1</v>
      </c>
      <c r="E21" s="71">
        <f>Portefeuille!$K$5</f>
        <v>1958863.8589618024</v>
      </c>
      <c r="F21" s="72">
        <f>Portefeuille!$M$5</f>
        <v>0.97943192948090119</v>
      </c>
      <c r="G21" s="72">
        <f>Portefeuille!$N$5</f>
        <v>1.9185738089733622</v>
      </c>
      <c r="H21" s="73">
        <f>IF(D21&lt;=3,'Courbe Scenarios'!$F$8,IF(D21&lt;=7,'Courbe Scenarios'!$G$8,'Courbe Scenarios'!$H$8))</f>
        <v>-75</v>
      </c>
      <c r="I21" s="73">
        <f>IF(C21="AAA",'Courbe Scenarios'!$I$8,IF(C21="AA",'Courbe Scenarios'!$J$8,IF(C21="A",'Courbe Scenarios'!$K$8,'Courbe Scenarios'!$L$8)))</f>
        <v>-5</v>
      </c>
      <c r="J21" s="74">
        <f t="shared" si="0"/>
        <v>-8.0000000000000002E-3</v>
      </c>
      <c r="K21" s="75">
        <f t="shared" si="1"/>
        <v>15468.853668431651</v>
      </c>
      <c r="L21" s="75">
        <f t="shared" si="2"/>
        <v>1974332.7126302342</v>
      </c>
      <c r="M21" s="1"/>
      <c r="N21" s="1"/>
      <c r="O21" s="1"/>
      <c r="P21" s="1"/>
      <c r="Q21" s="1"/>
      <c r="R21" s="1"/>
      <c r="S21" s="1"/>
      <c r="T21" s="1"/>
      <c r="U21" s="1"/>
      <c r="V21" s="1"/>
      <c r="W21" s="1"/>
      <c r="X21" s="1"/>
      <c r="Y21" s="1"/>
      <c r="Z21" s="1"/>
    </row>
    <row r="22" spans="1:26">
      <c r="A22" s="70" t="s">
        <v>110</v>
      </c>
      <c r="B22" s="70" t="s">
        <v>59</v>
      </c>
      <c r="C22" s="70" t="s">
        <v>58</v>
      </c>
      <c r="D22" s="70">
        <v>3</v>
      </c>
      <c r="E22" s="71">
        <f>Portefeuille!$K$6</f>
        <v>1787085.4641040075</v>
      </c>
      <c r="F22" s="72">
        <f>Portefeuille!$M$6</f>
        <v>2.8766061252534967</v>
      </c>
      <c r="G22" s="72">
        <f>Portefeuille!$N$6</f>
        <v>11.178681223245862</v>
      </c>
      <c r="H22" s="73">
        <f>IF(D22&lt;=3,'Courbe Scenarios'!$F$8,IF(D22&lt;=7,'Courbe Scenarios'!$G$8,'Courbe Scenarios'!$H$8))</f>
        <v>-75</v>
      </c>
      <c r="I22" s="73">
        <f>IF(C22="AAA",'Courbe Scenarios'!$I$8,IF(C22="AA",'Courbe Scenarios'!$J$8,IF(C22="A",'Courbe Scenarios'!$K$8,'Courbe Scenarios'!$L$8)))</f>
        <v>-5</v>
      </c>
      <c r="J22" s="74">
        <f t="shared" si="0"/>
        <v>-8.0000000000000002E-3</v>
      </c>
      <c r="K22" s="75">
        <f t="shared" si="1"/>
        <v>41765.200218245889</v>
      </c>
      <c r="L22" s="75">
        <f t="shared" si="2"/>
        <v>1828850.6643222533</v>
      </c>
      <c r="M22" s="1"/>
      <c r="N22" s="1"/>
      <c r="O22" s="1"/>
      <c r="P22" s="1"/>
      <c r="Q22" s="1"/>
      <c r="R22" s="1"/>
      <c r="S22" s="1"/>
      <c r="T22" s="1"/>
      <c r="U22" s="1"/>
      <c r="V22" s="1"/>
      <c r="W22" s="1"/>
      <c r="X22" s="1"/>
      <c r="Y22" s="1"/>
      <c r="Z22" s="1"/>
    </row>
    <row r="23" spans="1:26">
      <c r="A23" s="70" t="s">
        <v>110</v>
      </c>
      <c r="B23" s="70" t="s">
        <v>61</v>
      </c>
      <c r="C23" s="70" t="s">
        <v>63</v>
      </c>
      <c r="D23" s="70">
        <v>6</v>
      </c>
      <c r="E23" s="71">
        <f>Portefeuille!$K$7</f>
        <v>1520655.4701059249</v>
      </c>
      <c r="F23" s="72">
        <f>Portefeuille!$M$7</f>
        <v>5.4787348606001522</v>
      </c>
      <c r="G23" s="72">
        <f>Portefeuille!$N$7</f>
        <v>36.576186545709014</v>
      </c>
      <c r="H23" s="73">
        <f>IF(D23&lt;=3,'Courbe Scenarios'!$F$8,IF(D23&lt;=7,'Courbe Scenarios'!$G$8,'Courbe Scenarios'!$H$8))</f>
        <v>-75</v>
      </c>
      <c r="I23" s="73">
        <f>IF(C23="AAA",'Courbe Scenarios'!$I$8,IF(C23="AA",'Courbe Scenarios'!$J$8,IF(C23="A",'Courbe Scenarios'!$K$8,'Courbe Scenarios'!$L$8)))</f>
        <v>-8</v>
      </c>
      <c r="J23" s="74">
        <f t="shared" si="0"/>
        <v>-8.3000000000000001E-3</v>
      </c>
      <c r="K23" s="75">
        <f t="shared" si="1"/>
        <v>71065.34877901357</v>
      </c>
      <c r="L23" s="75">
        <f t="shared" si="2"/>
        <v>1591720.8188849385</v>
      </c>
      <c r="M23" s="1"/>
      <c r="N23" s="1"/>
      <c r="O23" s="1"/>
      <c r="P23" s="1"/>
      <c r="Q23" s="1"/>
      <c r="R23" s="1"/>
      <c r="S23" s="1"/>
      <c r="T23" s="1"/>
      <c r="U23" s="1"/>
      <c r="V23" s="1"/>
      <c r="W23" s="1"/>
      <c r="X23" s="1"/>
      <c r="Y23" s="1"/>
      <c r="Z23" s="1"/>
    </row>
    <row r="24" spans="1:26">
      <c r="A24" s="70" t="s">
        <v>110</v>
      </c>
      <c r="B24" s="70" t="s">
        <v>64</v>
      </c>
      <c r="C24" s="70" t="s">
        <v>67</v>
      </c>
      <c r="D24" s="70">
        <v>2</v>
      </c>
      <c r="E24" s="71">
        <f>Portefeuille!$K$8</f>
        <v>1204592.3272692997</v>
      </c>
      <c r="F24" s="72">
        <f>Portefeuille!$M$8</f>
        <v>1.9116994958924571</v>
      </c>
      <c r="G24" s="72">
        <f>Portefeuille!$N$8</f>
        <v>5.5388838939362097</v>
      </c>
      <c r="H24" s="73">
        <f>IF(D24&lt;=3,'Courbe Scenarios'!$F$8,IF(D24&lt;=7,'Courbe Scenarios'!$G$8,'Courbe Scenarios'!$H$8))</f>
        <v>-75</v>
      </c>
      <c r="I24" s="73">
        <f>IF(C24="AAA",'Courbe Scenarios'!$I$8,IF(C24="AA",'Courbe Scenarios'!$J$8,IF(C24="A",'Courbe Scenarios'!$K$8,'Courbe Scenarios'!$L$8)))</f>
        <v>-10</v>
      </c>
      <c r="J24" s="74">
        <f t="shared" si="0"/>
        <v>-8.5000000000000006E-3</v>
      </c>
      <c r="K24" s="75">
        <f t="shared" si="1"/>
        <v>19814.98713635125</v>
      </c>
      <c r="L24" s="75">
        <f t="shared" si="2"/>
        <v>1224407.3144056508</v>
      </c>
      <c r="M24" s="1"/>
      <c r="N24" s="1"/>
      <c r="O24" s="1"/>
      <c r="P24" s="1"/>
      <c r="Q24" s="1"/>
      <c r="R24" s="1"/>
      <c r="S24" s="1"/>
      <c r="T24" s="1"/>
      <c r="U24" s="1"/>
      <c r="V24" s="1"/>
      <c r="W24" s="1"/>
      <c r="X24" s="1"/>
      <c r="Y24" s="1"/>
      <c r="Z24" s="1"/>
    </row>
    <row r="25" spans="1:26">
      <c r="A25" s="70" t="s">
        <v>110</v>
      </c>
      <c r="B25" s="70" t="s">
        <v>68</v>
      </c>
      <c r="C25" s="70" t="s">
        <v>67</v>
      </c>
      <c r="D25" s="70">
        <v>4</v>
      </c>
      <c r="E25" s="71">
        <f>Portefeuille!$K$9</f>
        <v>1012886.3544436438</v>
      </c>
      <c r="F25" s="72">
        <f>Portefeuille!$M$9</f>
        <v>3.6652201015021948</v>
      </c>
      <c r="G25" s="72">
        <f>Portefeuille!$N$9</f>
        <v>17.399509650414146</v>
      </c>
      <c r="H25" s="73">
        <f>IF(D25&lt;=3,'Courbe Scenarios'!$F$8,IF(D25&lt;=7,'Courbe Scenarios'!$G$8,'Courbe Scenarios'!$H$8))</f>
        <v>-75</v>
      </c>
      <c r="I25" s="73">
        <f>IF(C25="AAA",'Courbe Scenarios'!$I$8,IF(C25="AA",'Courbe Scenarios'!$J$8,IF(C25="A",'Courbe Scenarios'!$K$8,'Courbe Scenarios'!$L$8)))</f>
        <v>-10</v>
      </c>
      <c r="J25" s="74">
        <f t="shared" si="0"/>
        <v>-8.5000000000000006E-3</v>
      </c>
      <c r="K25" s="75">
        <f t="shared" si="1"/>
        <v>32192.494226273328</v>
      </c>
      <c r="L25" s="75">
        <f t="shared" si="2"/>
        <v>1045078.8486699172</v>
      </c>
      <c r="M25" s="1"/>
      <c r="N25" s="1"/>
      <c r="O25" s="1"/>
      <c r="P25" s="1"/>
      <c r="Q25" s="1"/>
      <c r="R25" s="1"/>
      <c r="S25" s="1"/>
      <c r="T25" s="1"/>
      <c r="U25" s="1"/>
      <c r="V25" s="1"/>
      <c r="W25" s="1"/>
      <c r="X25" s="1"/>
      <c r="Y25" s="1"/>
      <c r="Z25" s="1"/>
    </row>
    <row r="26" spans="1:26">
      <c r="A26" s="70" t="s">
        <v>110</v>
      </c>
      <c r="B26" s="70" t="s">
        <v>71</v>
      </c>
      <c r="C26" s="70" t="s">
        <v>73</v>
      </c>
      <c r="D26" s="70">
        <v>5</v>
      </c>
      <c r="E26" s="71">
        <f>Portefeuille!$K$10</f>
        <v>908035.84136406402</v>
      </c>
      <c r="F26" s="72">
        <f>Portefeuille!$M$10</f>
        <v>4.4497493306267186</v>
      </c>
      <c r="G26" s="72">
        <f>Portefeuille!$N$10</f>
        <v>25.011612335655869</v>
      </c>
      <c r="H26" s="73">
        <f>IF(D26&lt;=3,'Courbe Scenarios'!$F$8,IF(D26&lt;=7,'Courbe Scenarios'!$G$8,'Courbe Scenarios'!$H$8))</f>
        <v>-75</v>
      </c>
      <c r="I26" s="73">
        <f>IF(C26="AAA",'Courbe Scenarios'!$I$8,IF(C26="AA",'Courbe Scenarios'!$J$8,IF(C26="A",'Courbe Scenarios'!$K$8,'Courbe Scenarios'!$L$8)))</f>
        <v>-10</v>
      </c>
      <c r="J26" s="74">
        <f t="shared" si="0"/>
        <v>-8.5000000000000006E-3</v>
      </c>
      <c r="K26" s="75">
        <f t="shared" si="1"/>
        <v>35164.971743301146</v>
      </c>
      <c r="L26" s="75">
        <f t="shared" si="2"/>
        <v>943200.81310736516</v>
      </c>
      <c r="M26" s="1"/>
      <c r="N26" s="1"/>
      <c r="O26" s="1"/>
      <c r="P26" s="1"/>
      <c r="Q26" s="1"/>
      <c r="R26" s="1"/>
      <c r="S26" s="1"/>
      <c r="T26" s="1"/>
      <c r="U26" s="1"/>
      <c r="V26" s="1"/>
      <c r="W26" s="1"/>
      <c r="X26" s="1"/>
      <c r="Y26" s="1"/>
      <c r="Z26" s="1"/>
    </row>
    <row r="27" spans="1:26">
      <c r="A27" s="70" t="s">
        <v>110</v>
      </c>
      <c r="B27" s="70" t="s">
        <v>74</v>
      </c>
      <c r="C27" s="70" t="s">
        <v>73</v>
      </c>
      <c r="D27" s="70">
        <v>8</v>
      </c>
      <c r="E27" s="71">
        <f>Portefeuille!$K$11</f>
        <v>1130119.5708561703</v>
      </c>
      <c r="F27" s="72">
        <f>Portefeuille!$M$11</f>
        <v>6.7739116040452849</v>
      </c>
      <c r="G27" s="72">
        <f>Portefeuille!$N$11</f>
        <v>56.196614034974502</v>
      </c>
      <c r="H27" s="73">
        <f>IF(D27&lt;=3,'Courbe Scenarios'!$F$8,IF(D27&lt;=7,'Courbe Scenarios'!$G$8,'Courbe Scenarios'!$H$8))</f>
        <v>-75</v>
      </c>
      <c r="I27" s="73">
        <f>IF(C27="AAA",'Courbe Scenarios'!$I$8,IF(C27="AA",'Courbe Scenarios'!$J$8,IF(C27="A",'Courbe Scenarios'!$K$8,'Courbe Scenarios'!$L$8)))</f>
        <v>-10</v>
      </c>
      <c r="J27" s="74">
        <f t="shared" si="0"/>
        <v>-8.5000000000000006E-3</v>
      </c>
      <c r="K27" s="75">
        <f t="shared" si="1"/>
        <v>67364.56440913197</v>
      </c>
      <c r="L27" s="75">
        <f t="shared" si="2"/>
        <v>1197484.1352653021</v>
      </c>
      <c r="M27" s="1"/>
      <c r="N27" s="1"/>
      <c r="O27" s="1"/>
      <c r="P27" s="1"/>
      <c r="Q27" s="1"/>
      <c r="R27" s="1"/>
      <c r="S27" s="1"/>
      <c r="T27" s="1"/>
      <c r="U27" s="1"/>
      <c r="V27" s="1"/>
      <c r="W27" s="1"/>
      <c r="X27" s="1"/>
      <c r="Y27" s="1"/>
      <c r="Z27" s="1"/>
    </row>
    <row r="28" spans="1:26">
      <c r="A28" s="70" t="s">
        <v>110</v>
      </c>
      <c r="B28" s="70" t="s">
        <v>76</v>
      </c>
      <c r="C28" s="70" t="s">
        <v>73</v>
      </c>
      <c r="D28" s="70">
        <v>10</v>
      </c>
      <c r="E28" s="71">
        <f>Portefeuille!$K$12</f>
        <v>705621.51814823365</v>
      </c>
      <c r="F28" s="72">
        <f>Portefeuille!$M$12</f>
        <v>8.0062245370869753</v>
      </c>
      <c r="G28" s="72">
        <f>Portefeuille!$N$12</f>
        <v>79.220004212603754</v>
      </c>
      <c r="H28" s="73">
        <f>IF(D28&lt;=3,'Courbe Scenarios'!$F$8,IF(D28&lt;=7,'Courbe Scenarios'!$G$8,'Courbe Scenarios'!$H$8))</f>
        <v>-75</v>
      </c>
      <c r="I28" s="73">
        <f>IF(C28="AAA",'Courbe Scenarios'!$I$8,IF(C28="AA",'Courbe Scenarios'!$J$8,IF(C28="A",'Courbe Scenarios'!$K$8,'Courbe Scenarios'!$L$8)))</f>
        <v>-10</v>
      </c>
      <c r="J28" s="74">
        <f t="shared" si="0"/>
        <v>-8.5000000000000006E-3</v>
      </c>
      <c r="K28" s="75">
        <f t="shared" si="1"/>
        <v>50038.960300709557</v>
      </c>
      <c r="L28" s="75">
        <f t="shared" si="2"/>
        <v>755660.47844894323</v>
      </c>
      <c r="M28" s="1"/>
      <c r="N28" s="1"/>
      <c r="O28" s="1"/>
      <c r="P28" s="1"/>
      <c r="Q28" s="1"/>
      <c r="R28" s="1"/>
      <c r="S28" s="1"/>
      <c r="T28" s="1"/>
      <c r="U28" s="1"/>
      <c r="V28" s="1"/>
      <c r="W28" s="1"/>
      <c r="X28" s="1"/>
      <c r="Y28" s="1"/>
      <c r="Z28" s="1"/>
    </row>
    <row r="29" spans="1:26">
      <c r="A29" s="29" t="s">
        <v>112</v>
      </c>
      <c r="B29" s="29" t="s">
        <v>55</v>
      </c>
      <c r="C29" s="29" t="s">
        <v>58</v>
      </c>
      <c r="D29" s="29">
        <v>1</v>
      </c>
      <c r="E29" s="61">
        <f>Portefeuille!$K$5</f>
        <v>1958863.8589618024</v>
      </c>
      <c r="F29" s="23">
        <f>Portefeuille!$M$5</f>
        <v>0.97943192948090119</v>
      </c>
      <c r="G29" s="23">
        <f>Portefeuille!$N$5</f>
        <v>1.9185738089733622</v>
      </c>
      <c r="H29" s="62">
        <f>IF(D29&lt;=3,'Courbe Scenarios'!$F$9,IF(D29&lt;=7,'Courbe Scenarios'!$G$9,'Courbe Scenarios'!$H$9))</f>
        <v>0</v>
      </c>
      <c r="I29" s="62">
        <f>IF(C29="AAA",'Courbe Scenarios'!$I$9,IF(C29="AA",'Courbe Scenarios'!$J$9,IF(C29="A",'Courbe Scenarios'!$K$9,'Courbe Scenarios'!$L$9)))</f>
        <v>20</v>
      </c>
      <c r="J29" s="63">
        <f t="shared" si="0"/>
        <v>2E-3</v>
      </c>
      <c r="K29" s="24">
        <f t="shared" si="1"/>
        <v>-3829.6311681564271</v>
      </c>
      <c r="L29" s="24">
        <f t="shared" si="2"/>
        <v>1955034.227793646</v>
      </c>
      <c r="M29" s="1"/>
      <c r="N29" s="1"/>
      <c r="O29" s="1"/>
      <c r="P29" s="1"/>
      <c r="Q29" s="1"/>
      <c r="R29" s="1"/>
      <c r="S29" s="1"/>
      <c r="T29" s="1"/>
      <c r="U29" s="1"/>
      <c r="V29" s="1"/>
      <c r="W29" s="1"/>
      <c r="X29" s="1"/>
      <c r="Y29" s="1"/>
      <c r="Z29" s="1"/>
    </row>
    <row r="30" spans="1:26">
      <c r="A30" s="29" t="s">
        <v>112</v>
      </c>
      <c r="B30" s="29" t="s">
        <v>59</v>
      </c>
      <c r="C30" s="29" t="s">
        <v>58</v>
      </c>
      <c r="D30" s="29">
        <v>3</v>
      </c>
      <c r="E30" s="61">
        <f>Portefeuille!$K$6</f>
        <v>1787085.4641040075</v>
      </c>
      <c r="F30" s="23">
        <f>Portefeuille!$M$6</f>
        <v>2.8766061252534967</v>
      </c>
      <c r="G30" s="23">
        <f>Portefeuille!$N$6</f>
        <v>11.178681223245862</v>
      </c>
      <c r="H30" s="62">
        <f>IF(D30&lt;=3,'Courbe Scenarios'!$F$9,IF(D30&lt;=7,'Courbe Scenarios'!$G$9,'Courbe Scenarios'!$H$9))</f>
        <v>0</v>
      </c>
      <c r="I30" s="62">
        <f>IF(C30="AAA",'Courbe Scenarios'!$I$9,IF(C30="AA",'Courbe Scenarios'!$J$9,IF(C30="A",'Courbe Scenarios'!$K$9,'Courbe Scenarios'!$L$9)))</f>
        <v>20</v>
      </c>
      <c r="J30" s="63">
        <f t="shared" si="0"/>
        <v>2E-3</v>
      </c>
      <c r="K30" s="24">
        <f t="shared" si="1"/>
        <v>-10241.527467342321</v>
      </c>
      <c r="L30" s="24">
        <f t="shared" si="2"/>
        <v>1776843.9366366651</v>
      </c>
      <c r="M30" s="1"/>
      <c r="N30" s="1"/>
      <c r="O30" s="1"/>
      <c r="P30" s="1"/>
      <c r="Q30" s="1"/>
      <c r="R30" s="1"/>
      <c r="S30" s="1"/>
      <c r="T30" s="1"/>
      <c r="U30" s="1"/>
      <c r="V30" s="1"/>
      <c r="W30" s="1"/>
      <c r="X30" s="1"/>
      <c r="Y30" s="1"/>
      <c r="Z30" s="1"/>
    </row>
    <row r="31" spans="1:26">
      <c r="A31" s="29" t="s">
        <v>112</v>
      </c>
      <c r="B31" s="29" t="s">
        <v>61</v>
      </c>
      <c r="C31" s="29" t="s">
        <v>63</v>
      </c>
      <c r="D31" s="29">
        <v>6</v>
      </c>
      <c r="E31" s="61">
        <f>Portefeuille!$K$7</f>
        <v>1520655.4701059249</v>
      </c>
      <c r="F31" s="23">
        <f>Portefeuille!$M$7</f>
        <v>5.4787348606001522</v>
      </c>
      <c r="G31" s="23">
        <f>Portefeuille!$N$7</f>
        <v>36.576186545709014</v>
      </c>
      <c r="H31" s="62">
        <f>IF(D31&lt;=3,'Courbe Scenarios'!$F$9,IF(D31&lt;=7,'Courbe Scenarios'!$G$9,'Courbe Scenarios'!$H$9))</f>
        <v>0</v>
      </c>
      <c r="I31" s="62">
        <f>IF(C31="AAA",'Courbe Scenarios'!$I$9,IF(C31="AA",'Courbe Scenarios'!$J$9,IF(C31="A",'Courbe Scenarios'!$K$9,'Courbe Scenarios'!$L$9)))</f>
        <v>35</v>
      </c>
      <c r="J31" s="63">
        <f t="shared" si="0"/>
        <v>3.5000000000000001E-3</v>
      </c>
      <c r="K31" s="24">
        <f t="shared" si="1"/>
        <v>-28818.76733146438</v>
      </c>
      <c r="L31" s="24">
        <f t="shared" si="2"/>
        <v>1491836.7027744604</v>
      </c>
      <c r="M31" s="1"/>
      <c r="N31" s="1"/>
      <c r="O31" s="1"/>
      <c r="P31" s="1"/>
      <c r="Q31" s="1"/>
      <c r="R31" s="1"/>
      <c r="S31" s="1"/>
      <c r="T31" s="1"/>
      <c r="U31" s="1"/>
      <c r="V31" s="1"/>
      <c r="W31" s="1"/>
      <c r="X31" s="1"/>
      <c r="Y31" s="1"/>
      <c r="Z31" s="1"/>
    </row>
    <row r="32" spans="1:26">
      <c r="A32" s="29" t="s">
        <v>112</v>
      </c>
      <c r="B32" s="29" t="s">
        <v>64</v>
      </c>
      <c r="C32" s="29" t="s">
        <v>67</v>
      </c>
      <c r="D32" s="29">
        <v>2</v>
      </c>
      <c r="E32" s="61">
        <f>Portefeuille!$K$8</f>
        <v>1204592.3272692997</v>
      </c>
      <c r="F32" s="23">
        <f>Portefeuille!$M$8</f>
        <v>1.9116994958924571</v>
      </c>
      <c r="G32" s="23">
        <f>Portefeuille!$N$8</f>
        <v>5.5388838939362097</v>
      </c>
      <c r="H32" s="62">
        <f>IF(D32&lt;=3,'Courbe Scenarios'!$F$9,IF(D32&lt;=7,'Courbe Scenarios'!$G$9,'Courbe Scenarios'!$H$9))</f>
        <v>0</v>
      </c>
      <c r="I32" s="62">
        <f>IF(C32="AAA",'Courbe Scenarios'!$I$9,IF(C32="AA",'Courbe Scenarios'!$J$9,IF(C32="A",'Courbe Scenarios'!$K$9,'Courbe Scenarios'!$L$9)))</f>
        <v>75</v>
      </c>
      <c r="J32" s="63">
        <f t="shared" si="0"/>
        <v>7.4999999999999997E-3</v>
      </c>
      <c r="K32" s="24">
        <f t="shared" si="1"/>
        <v>-17083.486356717189</v>
      </c>
      <c r="L32" s="24">
        <f t="shared" si="2"/>
        <v>1187508.8409125824</v>
      </c>
      <c r="M32" s="1"/>
      <c r="N32" s="1"/>
      <c r="O32" s="1"/>
      <c r="P32" s="1"/>
      <c r="Q32" s="1"/>
      <c r="R32" s="1"/>
      <c r="S32" s="1"/>
      <c r="T32" s="1"/>
      <c r="U32" s="1"/>
      <c r="V32" s="1"/>
      <c r="W32" s="1"/>
      <c r="X32" s="1"/>
      <c r="Y32" s="1"/>
      <c r="Z32" s="1"/>
    </row>
    <row r="33" spans="1:26">
      <c r="A33" s="29" t="s">
        <v>112</v>
      </c>
      <c r="B33" s="29" t="s">
        <v>68</v>
      </c>
      <c r="C33" s="29" t="s">
        <v>67</v>
      </c>
      <c r="D33" s="29">
        <v>4</v>
      </c>
      <c r="E33" s="61">
        <f>Portefeuille!$K$9</f>
        <v>1012886.3544436438</v>
      </c>
      <c r="F33" s="23">
        <f>Portefeuille!$M$9</f>
        <v>3.6652201015021948</v>
      </c>
      <c r="G33" s="23">
        <f>Portefeuille!$N$9</f>
        <v>17.399509650414146</v>
      </c>
      <c r="H33" s="62">
        <f>IF(D33&lt;=3,'Courbe Scenarios'!$F$9,IF(D33&lt;=7,'Courbe Scenarios'!$G$9,'Courbe Scenarios'!$H$9))</f>
        <v>0</v>
      </c>
      <c r="I33" s="62">
        <f>IF(C33="AAA",'Courbe Scenarios'!$I$9,IF(C33="AA",'Courbe Scenarios'!$J$9,IF(C33="A",'Courbe Scenarios'!$K$9,'Courbe Scenarios'!$L$9)))</f>
        <v>75</v>
      </c>
      <c r="J33" s="63">
        <f t="shared" si="0"/>
        <v>7.4999999999999997E-3</v>
      </c>
      <c r="K33" s="24">
        <f t="shared" si="1"/>
        <v>-27347.718410423917</v>
      </c>
      <c r="L33" s="24">
        <f t="shared" si="2"/>
        <v>985538.63603321987</v>
      </c>
      <c r="M33" s="1"/>
      <c r="N33" s="1"/>
      <c r="O33" s="1"/>
      <c r="P33" s="1"/>
      <c r="Q33" s="1"/>
      <c r="R33" s="1"/>
      <c r="S33" s="1"/>
      <c r="T33" s="1"/>
      <c r="U33" s="1"/>
      <c r="V33" s="1"/>
      <c r="W33" s="1"/>
      <c r="X33" s="1"/>
      <c r="Y33" s="1"/>
      <c r="Z33" s="1"/>
    </row>
    <row r="34" spans="1:26">
      <c r="A34" s="29" t="s">
        <v>112</v>
      </c>
      <c r="B34" s="29" t="s">
        <v>71</v>
      </c>
      <c r="C34" s="29" t="s">
        <v>73</v>
      </c>
      <c r="D34" s="29">
        <v>5</v>
      </c>
      <c r="E34" s="61">
        <f>Portefeuille!$K$10</f>
        <v>908035.84136406402</v>
      </c>
      <c r="F34" s="23">
        <f>Portefeuille!$M$10</f>
        <v>4.4497493306267186</v>
      </c>
      <c r="G34" s="23">
        <f>Portefeuille!$N$10</f>
        <v>25.011612335655869</v>
      </c>
      <c r="H34" s="62">
        <f>IF(D34&lt;=3,'Courbe Scenarios'!$F$9,IF(D34&lt;=7,'Courbe Scenarios'!$G$9,'Courbe Scenarios'!$H$9))</f>
        <v>0</v>
      </c>
      <c r="I34" s="62">
        <f>IF(C34="AAA",'Courbe Scenarios'!$I$9,IF(C34="AA",'Courbe Scenarios'!$J$9,IF(C34="A",'Courbe Scenarios'!$K$9,'Courbe Scenarios'!$L$9)))</f>
        <v>150</v>
      </c>
      <c r="J34" s="63">
        <f t="shared" si="0"/>
        <v>1.4999999999999999E-2</v>
      </c>
      <c r="K34" s="24">
        <f t="shared" si="1"/>
        <v>-58052.941108675805</v>
      </c>
      <c r="L34" s="24">
        <f t="shared" si="2"/>
        <v>849982.90025538823</v>
      </c>
      <c r="M34" s="1"/>
      <c r="N34" s="1"/>
      <c r="O34" s="1"/>
      <c r="P34" s="1"/>
      <c r="Q34" s="1"/>
      <c r="R34" s="1"/>
      <c r="S34" s="1"/>
      <c r="T34" s="1"/>
      <c r="U34" s="1"/>
      <c r="V34" s="1"/>
      <c r="W34" s="1"/>
      <c r="X34" s="1"/>
      <c r="Y34" s="1"/>
      <c r="Z34" s="1"/>
    </row>
    <row r="35" spans="1:26">
      <c r="A35" s="29" t="s">
        <v>112</v>
      </c>
      <c r="B35" s="29" t="s">
        <v>74</v>
      </c>
      <c r="C35" s="29" t="s">
        <v>73</v>
      </c>
      <c r="D35" s="29">
        <v>8</v>
      </c>
      <c r="E35" s="61">
        <f>Portefeuille!$K$11</f>
        <v>1130119.5708561703</v>
      </c>
      <c r="F35" s="23">
        <f>Portefeuille!$M$11</f>
        <v>6.7739116040452849</v>
      </c>
      <c r="G35" s="23">
        <f>Portefeuille!$N$11</f>
        <v>56.196614034974502</v>
      </c>
      <c r="H35" s="62">
        <f>IF(D35&lt;=3,'Courbe Scenarios'!$F$9,IF(D35&lt;=7,'Courbe Scenarios'!$G$9,'Courbe Scenarios'!$H$9))</f>
        <v>0</v>
      </c>
      <c r="I35" s="62">
        <f>IF(C35="AAA",'Courbe Scenarios'!$I$9,IF(C35="AA",'Courbe Scenarios'!$J$9,IF(C35="A",'Courbe Scenarios'!$K$9,'Courbe Scenarios'!$L$9)))</f>
        <v>150</v>
      </c>
      <c r="J35" s="63">
        <f t="shared" si="0"/>
        <v>1.4999999999999999E-2</v>
      </c>
      <c r="K35" s="24">
        <f t="shared" si="1"/>
        <v>-107685.20062433211</v>
      </c>
      <c r="L35" s="24">
        <f t="shared" si="2"/>
        <v>1022434.3702318382</v>
      </c>
      <c r="M35" s="1"/>
      <c r="N35" s="1"/>
      <c r="O35" s="1"/>
      <c r="P35" s="1"/>
      <c r="Q35" s="1"/>
      <c r="R35" s="1"/>
      <c r="S35" s="1"/>
      <c r="T35" s="1"/>
      <c r="U35" s="1"/>
      <c r="V35" s="1"/>
      <c r="W35" s="1"/>
      <c r="X35" s="1"/>
      <c r="Y35" s="1"/>
      <c r="Z35" s="1"/>
    </row>
    <row r="36" spans="1:26">
      <c r="A36" s="29" t="s">
        <v>112</v>
      </c>
      <c r="B36" s="29" t="s">
        <v>76</v>
      </c>
      <c r="C36" s="29" t="s">
        <v>73</v>
      </c>
      <c r="D36" s="29">
        <v>10</v>
      </c>
      <c r="E36" s="61">
        <f>Portefeuille!$K$12</f>
        <v>705621.51814823365</v>
      </c>
      <c r="F36" s="23">
        <f>Portefeuille!$M$12</f>
        <v>8.0062245370869753</v>
      </c>
      <c r="G36" s="23">
        <f>Portefeuille!$N$12</f>
        <v>79.220004212603754</v>
      </c>
      <c r="H36" s="62">
        <f>IF(D36&lt;=3,'Courbe Scenarios'!$F$9,IF(D36&lt;=7,'Courbe Scenarios'!$G$9,'Courbe Scenarios'!$H$9))</f>
        <v>0</v>
      </c>
      <c r="I36" s="62">
        <f>IF(C36="AAA",'Courbe Scenarios'!$I$9,IF(C36="AA",'Courbe Scenarios'!$J$9,IF(C36="A",'Courbe Scenarios'!$K$9,'Courbe Scenarios'!$L$9)))</f>
        <v>150</v>
      </c>
      <c r="J36" s="63">
        <f t="shared" si="0"/>
        <v>1.4999999999999999E-2</v>
      </c>
      <c r="K36" s="24">
        <f t="shared" si="1"/>
        <v>-78451.788977900971</v>
      </c>
      <c r="L36" s="24">
        <f t="shared" si="2"/>
        <v>627169.72917033266</v>
      </c>
      <c r="M36" s="1"/>
      <c r="N36" s="1"/>
      <c r="O36" s="1"/>
      <c r="P36" s="1"/>
      <c r="Q36" s="1"/>
      <c r="R36" s="1"/>
      <c r="S36" s="1"/>
      <c r="T36" s="1"/>
      <c r="U36" s="1"/>
      <c r="V36" s="1"/>
      <c r="W36" s="1"/>
      <c r="X36" s="1"/>
      <c r="Y36" s="1"/>
      <c r="Z36" s="1"/>
    </row>
    <row r="37" spans="1:26">
      <c r="A37" s="70" t="s">
        <v>114</v>
      </c>
      <c r="B37" s="70" t="s">
        <v>55</v>
      </c>
      <c r="C37" s="70" t="s">
        <v>58</v>
      </c>
      <c r="D37" s="70">
        <v>1</v>
      </c>
      <c r="E37" s="71">
        <f>Portefeuille!$K$5</f>
        <v>1958863.8589618024</v>
      </c>
      <c r="F37" s="72">
        <f>Portefeuille!$M$5</f>
        <v>0.97943192948090119</v>
      </c>
      <c r="G37" s="72">
        <f>Portefeuille!$N$5</f>
        <v>1.9185738089733622</v>
      </c>
      <c r="H37" s="73">
        <f>IF(D37&lt;=3,'Courbe Scenarios'!$F$10,IF(D37&lt;=7,'Courbe Scenarios'!$G$10,'Courbe Scenarios'!$H$10))</f>
        <v>25</v>
      </c>
      <c r="I37" s="73">
        <f>IF(C37="AAA",'Courbe Scenarios'!$I$10,IF(C37="AA",'Courbe Scenarios'!$J$10,IF(C37="A",'Courbe Scenarios'!$K$10,'Courbe Scenarios'!$L$10)))</f>
        <v>10</v>
      </c>
      <c r="J37" s="74">
        <f t="shared" si="0"/>
        <v>3.5000000000000001E-3</v>
      </c>
      <c r="K37" s="75">
        <f t="shared" si="1"/>
        <v>-6691.9892039239821</v>
      </c>
      <c r="L37" s="75">
        <f t="shared" si="2"/>
        <v>1952171.8697578784</v>
      </c>
      <c r="M37" s="1"/>
      <c r="N37" s="1"/>
      <c r="O37" s="1"/>
      <c r="P37" s="1"/>
      <c r="Q37" s="1"/>
      <c r="R37" s="1"/>
      <c r="S37" s="1"/>
      <c r="T37" s="1"/>
      <c r="U37" s="1"/>
      <c r="V37" s="1"/>
      <c r="W37" s="1"/>
      <c r="X37" s="1"/>
      <c r="Y37" s="1"/>
      <c r="Z37" s="1"/>
    </row>
    <row r="38" spans="1:26">
      <c r="A38" s="70" t="s">
        <v>114</v>
      </c>
      <c r="B38" s="70" t="s">
        <v>59</v>
      </c>
      <c r="C38" s="70" t="s">
        <v>58</v>
      </c>
      <c r="D38" s="70">
        <v>3</v>
      </c>
      <c r="E38" s="71">
        <f>Portefeuille!$K$6</f>
        <v>1787085.4641040075</v>
      </c>
      <c r="F38" s="72">
        <f>Portefeuille!$M$6</f>
        <v>2.8766061252534967</v>
      </c>
      <c r="G38" s="72">
        <f>Portefeuille!$N$6</f>
        <v>11.178681223245862</v>
      </c>
      <c r="H38" s="73">
        <f>IF(D38&lt;=3,'Courbe Scenarios'!$F$10,IF(D38&lt;=7,'Courbe Scenarios'!$G$10,'Courbe Scenarios'!$H$10))</f>
        <v>25</v>
      </c>
      <c r="I38" s="73">
        <f>IF(C38="AAA",'Courbe Scenarios'!$I$10,IF(C38="AA",'Courbe Scenarios'!$J$10,IF(C38="A",'Courbe Scenarios'!$K$10,'Courbe Scenarios'!$L$10)))</f>
        <v>10</v>
      </c>
      <c r="J38" s="74">
        <f t="shared" si="0"/>
        <v>3.5000000000000001E-3</v>
      </c>
      <c r="K38" s="75">
        <f t="shared" si="1"/>
        <v>-17870.232763704036</v>
      </c>
      <c r="L38" s="75">
        <f t="shared" si="2"/>
        <v>1769215.2313403033</v>
      </c>
      <c r="M38" s="1"/>
      <c r="N38" s="1"/>
      <c r="O38" s="1"/>
      <c r="P38" s="1"/>
      <c r="Q38" s="1"/>
      <c r="R38" s="1"/>
      <c r="S38" s="1"/>
      <c r="T38" s="1"/>
      <c r="U38" s="1"/>
      <c r="V38" s="1"/>
      <c r="W38" s="1"/>
      <c r="X38" s="1"/>
      <c r="Y38" s="1"/>
      <c r="Z38" s="1"/>
    </row>
    <row r="39" spans="1:26">
      <c r="A39" s="70" t="s">
        <v>114</v>
      </c>
      <c r="B39" s="70" t="s">
        <v>61</v>
      </c>
      <c r="C39" s="70" t="s">
        <v>63</v>
      </c>
      <c r="D39" s="70">
        <v>6</v>
      </c>
      <c r="E39" s="71">
        <f>Portefeuille!$K$7</f>
        <v>1520655.4701059249</v>
      </c>
      <c r="F39" s="72">
        <f>Portefeuille!$M$7</f>
        <v>5.4787348606001522</v>
      </c>
      <c r="G39" s="72">
        <f>Portefeuille!$N$7</f>
        <v>36.576186545709014</v>
      </c>
      <c r="H39" s="73">
        <f>IF(D39&lt;=3,'Courbe Scenarios'!$F$10,IF(D39&lt;=7,'Courbe Scenarios'!$G$10,'Courbe Scenarios'!$H$10))</f>
        <v>75</v>
      </c>
      <c r="I39" s="73">
        <f>IF(C39="AAA",'Courbe Scenarios'!$I$10,IF(C39="AA",'Courbe Scenarios'!$J$10,IF(C39="A",'Courbe Scenarios'!$K$10,'Courbe Scenarios'!$L$10)))</f>
        <v>15</v>
      </c>
      <c r="J39" s="74">
        <f t="shared" si="0"/>
        <v>8.9999999999999993E-3</v>
      </c>
      <c r="K39" s="75">
        <f t="shared" si="1"/>
        <v>-72728.81220035773</v>
      </c>
      <c r="L39" s="75">
        <f t="shared" si="2"/>
        <v>1447926.6579055672</v>
      </c>
      <c r="M39" s="1"/>
      <c r="N39" s="1"/>
      <c r="O39" s="1"/>
      <c r="P39" s="1"/>
      <c r="Q39" s="1"/>
      <c r="R39" s="1"/>
      <c r="S39" s="1"/>
      <c r="T39" s="1"/>
      <c r="U39" s="1"/>
      <c r="V39" s="1"/>
      <c r="W39" s="1"/>
      <c r="X39" s="1"/>
      <c r="Y39" s="1"/>
      <c r="Z39" s="1"/>
    </row>
    <row r="40" spans="1:26">
      <c r="A40" s="70" t="s">
        <v>114</v>
      </c>
      <c r="B40" s="70" t="s">
        <v>64</v>
      </c>
      <c r="C40" s="70" t="s">
        <v>67</v>
      </c>
      <c r="D40" s="70">
        <v>2</v>
      </c>
      <c r="E40" s="71">
        <f>Portefeuille!$K$8</f>
        <v>1204592.3272692997</v>
      </c>
      <c r="F40" s="72">
        <f>Portefeuille!$M$8</f>
        <v>1.9116994958924571</v>
      </c>
      <c r="G40" s="72">
        <f>Portefeuille!$N$8</f>
        <v>5.5388838939362097</v>
      </c>
      <c r="H40" s="73">
        <f>IF(D40&lt;=3,'Courbe Scenarios'!$F$10,IF(D40&lt;=7,'Courbe Scenarios'!$G$10,'Courbe Scenarios'!$H$10))</f>
        <v>25</v>
      </c>
      <c r="I40" s="73">
        <f>IF(C40="AAA",'Courbe Scenarios'!$I$10,IF(C40="AA",'Courbe Scenarios'!$J$10,IF(C40="A",'Courbe Scenarios'!$K$10,'Courbe Scenarios'!$L$10)))</f>
        <v>25</v>
      </c>
      <c r="J40" s="74">
        <f t="shared" si="0"/>
        <v>5.0000000000000001E-3</v>
      </c>
      <c r="K40" s="75">
        <f t="shared" si="1"/>
        <v>-11430.691510979823</v>
      </c>
      <c r="L40" s="75">
        <f t="shared" si="2"/>
        <v>1193161.6357583199</v>
      </c>
      <c r="M40" s="1"/>
      <c r="N40" s="1"/>
      <c r="O40" s="1"/>
      <c r="P40" s="1"/>
      <c r="Q40" s="1"/>
      <c r="R40" s="1"/>
      <c r="S40" s="1"/>
      <c r="T40" s="1"/>
      <c r="U40" s="1"/>
      <c r="V40" s="1"/>
      <c r="W40" s="1"/>
      <c r="X40" s="1"/>
      <c r="Y40" s="1"/>
      <c r="Z40" s="1"/>
    </row>
    <row r="41" spans="1:26">
      <c r="A41" s="70" t="s">
        <v>114</v>
      </c>
      <c r="B41" s="70" t="s">
        <v>68</v>
      </c>
      <c r="C41" s="70" t="s">
        <v>67</v>
      </c>
      <c r="D41" s="70">
        <v>4</v>
      </c>
      <c r="E41" s="71">
        <f>Portefeuille!$K$9</f>
        <v>1012886.3544436438</v>
      </c>
      <c r="F41" s="72">
        <f>Portefeuille!$M$9</f>
        <v>3.6652201015021948</v>
      </c>
      <c r="G41" s="72">
        <f>Portefeuille!$N$9</f>
        <v>17.399509650414146</v>
      </c>
      <c r="H41" s="73">
        <f>IF(D41&lt;=3,'Courbe Scenarios'!$F$10,IF(D41&lt;=7,'Courbe Scenarios'!$G$10,'Courbe Scenarios'!$H$10))</f>
        <v>75</v>
      </c>
      <c r="I41" s="73">
        <f>IF(C41="AAA",'Courbe Scenarios'!$I$10,IF(C41="AA",'Courbe Scenarios'!$J$10,IF(C41="A",'Courbe Scenarios'!$K$10,'Courbe Scenarios'!$L$10)))</f>
        <v>25</v>
      </c>
      <c r="J41" s="74">
        <f t="shared" si="0"/>
        <v>0.01</v>
      </c>
      <c r="K41" s="75">
        <f t="shared" si="1"/>
        <v>-36243.327973495456</v>
      </c>
      <c r="L41" s="75">
        <f t="shared" si="2"/>
        <v>976643.02647014835</v>
      </c>
      <c r="M41" s="1"/>
      <c r="N41" s="1"/>
      <c r="O41" s="1"/>
      <c r="P41" s="1"/>
      <c r="Q41" s="1"/>
      <c r="R41" s="1"/>
      <c r="S41" s="1"/>
      <c r="T41" s="1"/>
      <c r="U41" s="1"/>
      <c r="V41" s="1"/>
      <c r="W41" s="1"/>
      <c r="X41" s="1"/>
      <c r="Y41" s="1"/>
      <c r="Z41" s="1"/>
    </row>
    <row r="42" spans="1:26">
      <c r="A42" s="70" t="s">
        <v>114</v>
      </c>
      <c r="B42" s="70" t="s">
        <v>71</v>
      </c>
      <c r="C42" s="70" t="s">
        <v>73</v>
      </c>
      <c r="D42" s="70">
        <v>5</v>
      </c>
      <c r="E42" s="71">
        <f>Portefeuille!$K$10</f>
        <v>908035.84136406402</v>
      </c>
      <c r="F42" s="72">
        <f>Portefeuille!$M$10</f>
        <v>4.4497493306267186</v>
      </c>
      <c r="G42" s="72">
        <f>Portefeuille!$N$10</f>
        <v>25.011612335655869</v>
      </c>
      <c r="H42" s="73">
        <f>IF(D42&lt;=3,'Courbe Scenarios'!$F$10,IF(D42&lt;=7,'Courbe Scenarios'!$G$10,'Courbe Scenarios'!$H$10))</f>
        <v>75</v>
      </c>
      <c r="I42" s="73">
        <f>IF(C42="AAA",'Courbe Scenarios'!$I$10,IF(C42="AA",'Courbe Scenarios'!$J$10,IF(C42="A",'Courbe Scenarios'!$K$10,'Courbe Scenarios'!$L$10)))</f>
        <v>50</v>
      </c>
      <c r="J42" s="74">
        <f t="shared" si="0"/>
        <v>1.2500000000000001E-2</v>
      </c>
      <c r="K42" s="75">
        <f t="shared" si="1"/>
        <v>-48732.317180944614</v>
      </c>
      <c r="L42" s="75">
        <f t="shared" si="2"/>
        <v>859303.52418311941</v>
      </c>
      <c r="M42" s="1"/>
      <c r="N42" s="1"/>
      <c r="O42" s="1"/>
      <c r="P42" s="1"/>
      <c r="Q42" s="1"/>
      <c r="R42" s="1"/>
      <c r="S42" s="1"/>
      <c r="T42" s="1"/>
      <c r="U42" s="1"/>
      <c r="V42" s="1"/>
      <c r="W42" s="1"/>
      <c r="X42" s="1"/>
      <c r="Y42" s="1"/>
      <c r="Z42" s="1"/>
    </row>
    <row r="43" spans="1:26">
      <c r="A43" s="70" t="s">
        <v>114</v>
      </c>
      <c r="B43" s="70" t="s">
        <v>74</v>
      </c>
      <c r="C43" s="70" t="s">
        <v>73</v>
      </c>
      <c r="D43" s="70">
        <v>8</v>
      </c>
      <c r="E43" s="71">
        <f>Portefeuille!$K$11</f>
        <v>1130119.5708561703</v>
      </c>
      <c r="F43" s="72">
        <f>Portefeuille!$M$11</f>
        <v>6.7739116040452849</v>
      </c>
      <c r="G43" s="72">
        <f>Portefeuille!$N$11</f>
        <v>56.196614034974502</v>
      </c>
      <c r="H43" s="73">
        <f>IF(D43&lt;=3,'Courbe Scenarios'!$F$10,IF(D43&lt;=7,'Courbe Scenarios'!$G$10,'Courbe Scenarios'!$H$10))</f>
        <v>125</v>
      </c>
      <c r="I43" s="73">
        <f>IF(C43="AAA",'Courbe Scenarios'!$I$10,IF(C43="AA",'Courbe Scenarios'!$J$10,IF(C43="A",'Courbe Scenarios'!$K$10,'Courbe Scenarios'!$L$10)))</f>
        <v>50</v>
      </c>
      <c r="J43" s="74">
        <f t="shared" si="0"/>
        <v>1.7500000000000002E-2</v>
      </c>
      <c r="K43" s="75">
        <f t="shared" si="1"/>
        <v>-124243.47701997888</v>
      </c>
      <c r="L43" s="75">
        <f t="shared" si="2"/>
        <v>1005876.0938361913</v>
      </c>
      <c r="M43" s="1"/>
      <c r="N43" s="1"/>
      <c r="O43" s="1"/>
      <c r="P43" s="1"/>
      <c r="Q43" s="1"/>
      <c r="R43" s="1"/>
      <c r="S43" s="1"/>
      <c r="T43" s="1"/>
      <c r="U43" s="1"/>
      <c r="V43" s="1"/>
      <c r="W43" s="1"/>
      <c r="X43" s="1"/>
      <c r="Y43" s="1"/>
      <c r="Z43" s="1"/>
    </row>
    <row r="44" spans="1:26">
      <c r="A44" s="70" t="s">
        <v>114</v>
      </c>
      <c r="B44" s="70" t="s">
        <v>76</v>
      </c>
      <c r="C44" s="70" t="s">
        <v>73</v>
      </c>
      <c r="D44" s="70">
        <v>10</v>
      </c>
      <c r="E44" s="71">
        <f>Portefeuille!$K$12</f>
        <v>705621.51814823365</v>
      </c>
      <c r="F44" s="72">
        <f>Portefeuille!$M$12</f>
        <v>8.0062245370869753</v>
      </c>
      <c r="G44" s="72">
        <f>Portefeuille!$N$12</f>
        <v>79.220004212603754</v>
      </c>
      <c r="H44" s="73">
        <f>IF(D44&lt;=3,'Courbe Scenarios'!$F$10,IF(D44&lt;=7,'Courbe Scenarios'!$G$10,'Courbe Scenarios'!$H$10))</f>
        <v>125</v>
      </c>
      <c r="I44" s="73">
        <f>IF(C44="AAA",'Courbe Scenarios'!$I$10,IF(C44="AA",'Courbe Scenarios'!$J$10,IF(C44="A",'Courbe Scenarios'!$K$10,'Courbe Scenarios'!$L$10)))</f>
        <v>50</v>
      </c>
      <c r="J44" s="74">
        <f t="shared" si="0"/>
        <v>1.7500000000000002E-2</v>
      </c>
      <c r="K44" s="75">
        <f t="shared" si="1"/>
        <v>-90304.289086254968</v>
      </c>
      <c r="L44" s="75">
        <f t="shared" si="2"/>
        <v>615317.22906197864</v>
      </c>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
      <c r="A47" s="149" t="s">
        <v>124</v>
      </c>
      <c r="B47" s="149" t="s">
        <v>124</v>
      </c>
      <c r="C47" s="149" t="s">
        <v>124</v>
      </c>
      <c r="D47" s="149" t="s">
        <v>124</v>
      </c>
      <c r="E47" s="1"/>
      <c r="F47" s="1"/>
      <c r="G47" s="1"/>
      <c r="H47" s="1"/>
      <c r="I47" s="1"/>
      <c r="J47" s="1"/>
      <c r="K47" s="1"/>
      <c r="L47" s="1"/>
      <c r="M47" s="1"/>
      <c r="N47" s="1"/>
      <c r="O47" s="1"/>
      <c r="P47" s="1"/>
      <c r="Q47" s="1"/>
      <c r="R47" s="1"/>
      <c r="S47" s="1"/>
      <c r="T47" s="1"/>
      <c r="U47" s="1"/>
      <c r="V47" s="1"/>
      <c r="W47" s="1"/>
      <c r="X47" s="1"/>
      <c r="Y47" s="1"/>
      <c r="Z47" s="1"/>
    </row>
    <row r="48" spans="1:26" ht="24">
      <c r="A48" s="2" t="s">
        <v>102</v>
      </c>
      <c r="B48" s="3" t="s">
        <v>122</v>
      </c>
      <c r="C48" s="3" t="s">
        <v>125</v>
      </c>
      <c r="D48" s="4" t="s">
        <v>123</v>
      </c>
      <c r="E48" s="1"/>
      <c r="F48" s="1"/>
      <c r="G48" s="1"/>
      <c r="H48" s="1"/>
      <c r="I48" s="1"/>
      <c r="J48" s="1"/>
      <c r="K48" s="1"/>
      <c r="L48" s="1"/>
      <c r="M48" s="1"/>
      <c r="N48" s="1"/>
      <c r="O48" s="1"/>
      <c r="P48" s="1"/>
      <c r="Q48" s="1"/>
      <c r="R48" s="1"/>
      <c r="S48" s="1"/>
      <c r="T48" s="1"/>
      <c r="U48" s="1"/>
      <c r="V48" s="1"/>
      <c r="W48" s="1"/>
      <c r="X48" s="1"/>
      <c r="Y48" s="1"/>
      <c r="Z48" s="1"/>
    </row>
    <row r="49" spans="1:26">
      <c r="A49" s="1" t="s">
        <v>107</v>
      </c>
      <c r="B49" s="5">
        <f>SUM(K5:K12)</f>
        <v>0</v>
      </c>
      <c r="C49" s="7">
        <f>B49/Portefeuille!$K$13</f>
        <v>0</v>
      </c>
      <c r="D49" s="5">
        <f>SUM(L5:L12)</f>
        <v>10227860.405253148</v>
      </c>
      <c r="E49" s="1"/>
      <c r="F49" s="1"/>
      <c r="G49" s="1"/>
      <c r="H49" s="1"/>
      <c r="I49" s="1"/>
      <c r="J49" s="1"/>
      <c r="K49" s="1"/>
      <c r="L49" s="1"/>
      <c r="M49" s="1"/>
      <c r="N49" s="1"/>
      <c r="O49" s="1"/>
      <c r="P49" s="1"/>
      <c r="Q49" s="1"/>
      <c r="R49" s="1"/>
      <c r="S49" s="1"/>
      <c r="T49" s="1"/>
      <c r="U49" s="1"/>
      <c r="V49" s="1"/>
      <c r="W49" s="1"/>
      <c r="X49" s="1"/>
      <c r="Y49" s="1"/>
      <c r="Z49" s="1"/>
    </row>
    <row r="50" spans="1:26">
      <c r="A50" s="1" t="s">
        <v>13</v>
      </c>
      <c r="B50" s="5">
        <f>SUM(K13:K20)</f>
        <v>-462850.85459079786</v>
      </c>
      <c r="C50" s="7">
        <f>B50/Portefeuille!$K$13</f>
        <v>-4.525392763016909E-2</v>
      </c>
      <c r="D50" s="5">
        <f>SUM(L13:L20)</f>
        <v>9765009.550662348</v>
      </c>
      <c r="E50" s="1"/>
      <c r="F50" s="1"/>
      <c r="G50" s="1"/>
      <c r="H50" s="1"/>
      <c r="I50" s="1"/>
      <c r="J50" s="1"/>
      <c r="K50" s="1"/>
      <c r="L50" s="1"/>
      <c r="M50" s="1"/>
      <c r="N50" s="1"/>
      <c r="O50" s="1"/>
      <c r="P50" s="1"/>
      <c r="Q50" s="1"/>
      <c r="R50" s="1"/>
      <c r="S50" s="1"/>
      <c r="T50" s="1"/>
      <c r="U50" s="1"/>
      <c r="V50" s="1"/>
      <c r="W50" s="1"/>
      <c r="X50" s="1"/>
      <c r="Y50" s="1"/>
      <c r="Z50" s="1"/>
    </row>
    <row r="51" spans="1:26">
      <c r="A51" s="1" t="s">
        <v>110</v>
      </c>
      <c r="B51" s="5">
        <f>SUM(K21:K28)</f>
        <v>332875.38048145839</v>
      </c>
      <c r="C51" s="7">
        <f>B51/Portefeuille!$K$13</f>
        <v>3.2545944830307788E-2</v>
      </c>
      <c r="D51" s="5">
        <f>SUM(L21:L28)</f>
        <v>10560735.785734605</v>
      </c>
      <c r="E51" s="1"/>
      <c r="F51" s="1"/>
      <c r="G51" s="1"/>
      <c r="H51" s="1"/>
      <c r="I51" s="1"/>
      <c r="J51" s="1"/>
      <c r="K51" s="1"/>
      <c r="L51" s="1"/>
      <c r="M51" s="1"/>
      <c r="N51" s="1"/>
      <c r="O51" s="1"/>
      <c r="P51" s="1"/>
      <c r="Q51" s="1"/>
      <c r="R51" s="1"/>
      <c r="S51" s="1"/>
      <c r="T51" s="1"/>
      <c r="U51" s="1"/>
      <c r="V51" s="1"/>
      <c r="W51" s="1"/>
      <c r="X51" s="1"/>
      <c r="Y51" s="1"/>
      <c r="Z51" s="1"/>
    </row>
    <row r="52" spans="1:26">
      <c r="A52" s="1" t="s">
        <v>112</v>
      </c>
      <c r="B52" s="5">
        <f>SUM(K29:K36)</f>
        <v>-331511.06144501315</v>
      </c>
      <c r="C52" s="7">
        <f>B52/Portefeuille!$K$13</f>
        <v>-3.2412552411718996E-2</v>
      </c>
      <c r="D52" s="5">
        <f>SUM(L29:L36)</f>
        <v>9896349.3438081332</v>
      </c>
      <c r="E52" s="1"/>
      <c r="F52" s="1"/>
      <c r="G52" s="1"/>
      <c r="H52" s="1"/>
      <c r="I52" s="1"/>
      <c r="J52" s="1"/>
      <c r="K52" s="1"/>
      <c r="L52" s="1"/>
      <c r="M52" s="1"/>
      <c r="N52" s="1"/>
      <c r="O52" s="1"/>
      <c r="P52" s="1"/>
      <c r="Q52" s="1"/>
      <c r="R52" s="1"/>
      <c r="S52" s="1"/>
      <c r="T52" s="1"/>
      <c r="U52" s="1"/>
      <c r="V52" s="1"/>
      <c r="W52" s="1"/>
      <c r="X52" s="1"/>
      <c r="Y52" s="1"/>
      <c r="Z52" s="1"/>
    </row>
    <row r="53" spans="1:26">
      <c r="A53" s="1" t="s">
        <v>114</v>
      </c>
      <c r="B53" s="5">
        <f>SUM(K37:K44)</f>
        <v>-408245.13693963946</v>
      </c>
      <c r="C53" s="7">
        <f>B53/Portefeuille!$K$13</f>
        <v>-3.9915008688421287E-2</v>
      </c>
      <c r="D53" s="5">
        <f>SUM(L37:L44)</f>
        <v>9819615.2683135066</v>
      </c>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3">
    <mergeCell ref="A1:L1"/>
    <mergeCell ref="A2:L2"/>
    <mergeCell ref="A47:D47"/>
  </mergeCells>
  <conditionalFormatting sqref="K5:K44">
    <cfRule type="cellIs" dxfId="8" priority="1" operator="lessThan">
      <formula>0</formula>
    </cfRule>
    <cfRule type="cellIs" dxfId="7" priority="2" operator="greaterThan">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00"/>
  <sheetViews>
    <sheetView showGridLines="0" workbookViewId="0">
      <selection sqref="A1:J1"/>
    </sheetView>
  </sheetViews>
  <sheetFormatPr baseColWidth="10" defaultColWidth="9" defaultRowHeight="14.25"/>
  <cols>
    <col min="1" max="1" width="30" customWidth="1"/>
    <col min="2" max="3" width="18" customWidth="1"/>
  </cols>
  <sheetData>
    <row r="1" spans="1:26" ht="23.25">
      <c r="A1" s="110" t="s">
        <v>126</v>
      </c>
      <c r="B1" s="110" t="s">
        <v>126</v>
      </c>
      <c r="C1" s="110" t="s">
        <v>126</v>
      </c>
      <c r="D1" s="110" t="s">
        <v>126</v>
      </c>
      <c r="E1" s="110" t="s">
        <v>126</v>
      </c>
      <c r="F1" s="110" t="s">
        <v>126</v>
      </c>
      <c r="G1" s="110" t="s">
        <v>126</v>
      </c>
      <c r="H1" s="110" t="s">
        <v>126</v>
      </c>
      <c r="I1" s="110" t="s">
        <v>126</v>
      </c>
      <c r="J1" s="110" t="s">
        <v>126</v>
      </c>
      <c r="K1" s="1"/>
      <c r="L1" s="1"/>
      <c r="M1" s="1"/>
      <c r="N1" s="1"/>
      <c r="O1" s="1"/>
      <c r="P1" s="1"/>
      <c r="Q1" s="1"/>
      <c r="R1" s="1"/>
      <c r="S1" s="1"/>
      <c r="T1" s="1"/>
      <c r="U1" s="1"/>
      <c r="V1" s="1"/>
      <c r="W1" s="1"/>
      <c r="X1" s="1"/>
      <c r="Y1" s="1"/>
      <c r="Z1" s="1"/>
    </row>
    <row r="2" spans="1:26">
      <c r="A2" s="111" t="s">
        <v>127</v>
      </c>
      <c r="B2" s="111" t="s">
        <v>127</v>
      </c>
      <c r="C2" s="111" t="s">
        <v>127</v>
      </c>
      <c r="D2" s="111" t="s">
        <v>127</v>
      </c>
      <c r="E2" s="111" t="s">
        <v>127</v>
      </c>
      <c r="F2" s="111" t="s">
        <v>127</v>
      </c>
      <c r="G2" s="111" t="s">
        <v>127</v>
      </c>
      <c r="H2" s="111" t="s">
        <v>127</v>
      </c>
      <c r="I2" s="111" t="s">
        <v>127</v>
      </c>
      <c r="J2" s="111" t="s">
        <v>127</v>
      </c>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15">
      <c r="A4" s="149" t="s">
        <v>128</v>
      </c>
      <c r="B4" s="149" t="s">
        <v>128</v>
      </c>
      <c r="C4" s="149" t="s">
        <v>128</v>
      </c>
      <c r="D4" s="149" t="s">
        <v>128</v>
      </c>
      <c r="E4" s="1"/>
      <c r="F4" s="1"/>
      <c r="G4" s="1"/>
      <c r="H4" s="1"/>
      <c r="I4" s="1"/>
      <c r="J4" s="1"/>
      <c r="K4" s="1"/>
      <c r="L4" s="1"/>
      <c r="M4" s="1"/>
      <c r="N4" s="1"/>
      <c r="O4" s="1"/>
      <c r="P4" s="1"/>
      <c r="Q4" s="1"/>
      <c r="R4" s="1"/>
      <c r="S4" s="1"/>
      <c r="T4" s="1"/>
      <c r="U4" s="1"/>
      <c r="V4" s="1"/>
      <c r="W4" s="1"/>
      <c r="X4" s="1"/>
      <c r="Y4" s="1"/>
      <c r="Z4" s="1"/>
    </row>
    <row r="5" spans="1:26">
      <c r="A5" s="46" t="s">
        <v>7</v>
      </c>
      <c r="B5" s="48" t="s">
        <v>8</v>
      </c>
      <c r="C5" s="1"/>
      <c r="D5" s="1"/>
      <c r="E5" s="1"/>
      <c r="F5" s="1"/>
      <c r="G5" s="1"/>
      <c r="H5" s="1"/>
      <c r="I5" s="1"/>
      <c r="J5" s="1"/>
      <c r="K5" s="1"/>
      <c r="L5" s="1"/>
      <c r="M5" s="1"/>
      <c r="N5" s="1"/>
      <c r="O5" s="1"/>
      <c r="P5" s="1"/>
      <c r="Q5" s="1"/>
      <c r="R5" s="1"/>
      <c r="S5" s="1"/>
      <c r="T5" s="1"/>
      <c r="U5" s="1"/>
      <c r="V5" s="1"/>
      <c r="W5" s="1"/>
      <c r="X5" s="1"/>
      <c r="Y5" s="1"/>
      <c r="Z5" s="1"/>
    </row>
    <row r="6" spans="1:26">
      <c r="A6" s="77" t="s">
        <v>129</v>
      </c>
      <c r="B6" s="78">
        <f>Portefeuille!$O$13</f>
        <v>3875.1079172809896</v>
      </c>
      <c r="C6" s="1"/>
      <c r="D6" s="1"/>
      <c r="E6" s="1"/>
      <c r="F6" s="1"/>
      <c r="G6" s="1"/>
      <c r="H6" s="1"/>
      <c r="I6" s="1"/>
      <c r="J6" s="1"/>
      <c r="K6" s="1"/>
      <c r="L6" s="1"/>
      <c r="M6" s="1"/>
      <c r="N6" s="1"/>
      <c r="O6" s="1"/>
      <c r="P6" s="1"/>
      <c r="Q6" s="1"/>
      <c r="R6" s="1"/>
      <c r="S6" s="1"/>
      <c r="T6" s="1"/>
      <c r="U6" s="1"/>
      <c r="V6" s="1"/>
      <c r="W6" s="1"/>
      <c r="X6" s="1"/>
      <c r="Y6" s="1"/>
      <c r="Z6" s="1"/>
    </row>
    <row r="7" spans="1:26">
      <c r="A7" s="77" t="s">
        <v>130</v>
      </c>
      <c r="B7" s="79">
        <v>85</v>
      </c>
      <c r="C7" s="1"/>
      <c r="D7" s="1"/>
      <c r="E7" s="1"/>
      <c r="F7" s="1"/>
      <c r="G7" s="1"/>
      <c r="H7" s="1"/>
      <c r="I7" s="1"/>
      <c r="J7" s="1"/>
      <c r="K7" s="1"/>
      <c r="L7" s="1"/>
      <c r="M7" s="1"/>
      <c r="N7" s="1"/>
      <c r="O7" s="1"/>
      <c r="P7" s="1"/>
      <c r="Q7" s="1"/>
      <c r="R7" s="1"/>
      <c r="S7" s="1"/>
      <c r="T7" s="1"/>
      <c r="U7" s="1"/>
      <c r="V7" s="1"/>
      <c r="W7" s="1"/>
      <c r="X7" s="1"/>
      <c r="Y7" s="1"/>
      <c r="Z7" s="1"/>
    </row>
    <row r="8" spans="1:26">
      <c r="A8" s="77" t="s">
        <v>131</v>
      </c>
      <c r="B8" s="80">
        <f>ROUND(-B6/B7,0)</f>
        <v>-46</v>
      </c>
      <c r="C8" s="1"/>
      <c r="D8" s="1"/>
      <c r="E8" s="1"/>
      <c r="F8" s="1"/>
      <c r="G8" s="1"/>
      <c r="H8" s="1"/>
      <c r="I8" s="1"/>
      <c r="J8" s="1"/>
      <c r="K8" s="1"/>
      <c r="L8" s="1"/>
      <c r="M8" s="1"/>
      <c r="N8" s="1"/>
      <c r="O8" s="1"/>
      <c r="P8" s="1"/>
      <c r="Q8" s="1"/>
      <c r="R8" s="1"/>
      <c r="S8" s="1"/>
      <c r="T8" s="1"/>
      <c r="U8" s="1"/>
      <c r="V8" s="1"/>
      <c r="W8" s="1"/>
      <c r="X8" s="1"/>
      <c r="Y8" s="1"/>
      <c r="Z8" s="1"/>
    </row>
    <row r="9" spans="1:26">
      <c r="A9" s="77" t="s">
        <v>132</v>
      </c>
      <c r="B9" s="81">
        <f>B6+B8*B7</f>
        <v>-34.892082719010432</v>
      </c>
      <c r="C9" s="1"/>
      <c r="D9" s="1"/>
      <c r="E9" s="1"/>
      <c r="F9" s="1"/>
      <c r="G9" s="1"/>
      <c r="H9" s="1"/>
      <c r="I9" s="1"/>
      <c r="J9" s="1"/>
      <c r="K9" s="1"/>
      <c r="L9" s="1"/>
      <c r="M9" s="1"/>
      <c r="N9" s="1"/>
      <c r="O9" s="1"/>
      <c r="P9" s="1"/>
      <c r="Q9" s="1"/>
      <c r="R9" s="1"/>
      <c r="S9" s="1"/>
      <c r="T9" s="1"/>
      <c r="U9" s="1"/>
      <c r="V9" s="1"/>
      <c r="W9" s="1"/>
      <c r="X9" s="1"/>
      <c r="Y9" s="1"/>
      <c r="Z9" s="1"/>
    </row>
    <row r="10" spans="1:26">
      <c r="A10" s="77" t="s">
        <v>133</v>
      </c>
      <c r="B10" s="82">
        <f>1-ABS(B9/B6)</f>
        <v>0.99099584231876237</v>
      </c>
      <c r="C10" s="1"/>
      <c r="D10" s="1"/>
      <c r="E10" s="1"/>
      <c r="F10" s="1"/>
      <c r="G10" s="1"/>
      <c r="H10" s="1"/>
      <c r="I10" s="1"/>
      <c r="J10" s="1"/>
      <c r="K10" s="1"/>
      <c r="L10" s="1"/>
      <c r="M10" s="1"/>
      <c r="N10" s="1"/>
      <c r="O10" s="1"/>
      <c r="P10" s="1"/>
      <c r="Q10" s="1"/>
      <c r="R10" s="1"/>
      <c r="S10" s="1"/>
      <c r="T10" s="1"/>
      <c r="U10" s="1"/>
      <c r="V10" s="1"/>
      <c r="W10" s="1"/>
      <c r="X10" s="1"/>
      <c r="Y10" s="1"/>
      <c r="Z10" s="1"/>
    </row>
    <row r="11" spans="1:26">
      <c r="A11" s="83" t="s">
        <v>134</v>
      </c>
      <c r="B11" s="84" t="str">
        <f>IF(B8&lt;0,"Vendre futures","Acheter futures")</f>
        <v>Vendre futures</v>
      </c>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2" t="s">
        <v>135</v>
      </c>
      <c r="B14" s="3" t="s">
        <v>136</v>
      </c>
      <c r="C14" s="4" t="s">
        <v>137</v>
      </c>
      <c r="D14" s="1"/>
      <c r="E14" s="1"/>
      <c r="F14" s="1"/>
      <c r="G14" s="1"/>
      <c r="H14" s="1"/>
      <c r="I14" s="1"/>
      <c r="J14" s="1"/>
      <c r="K14" s="1"/>
      <c r="L14" s="1"/>
      <c r="M14" s="1"/>
      <c r="N14" s="1"/>
      <c r="O14" s="1"/>
      <c r="P14" s="1"/>
      <c r="Q14" s="1"/>
      <c r="R14" s="1"/>
      <c r="S14" s="1"/>
      <c r="T14" s="1"/>
      <c r="U14" s="1"/>
      <c r="V14" s="1"/>
      <c r="W14" s="1"/>
      <c r="X14" s="1"/>
      <c r="Y14" s="1"/>
      <c r="Z14" s="1"/>
    </row>
    <row r="15" spans="1:26">
      <c r="A15" s="1" t="s">
        <v>138</v>
      </c>
      <c r="B15" s="6">
        <f>ABS(B6)</f>
        <v>3875.1079172809896</v>
      </c>
      <c r="C15" s="6">
        <f>ABS(B9)</f>
        <v>34.892082719010432</v>
      </c>
      <c r="D15" s="1"/>
      <c r="E15" s="1"/>
      <c r="F15" s="1"/>
      <c r="G15" s="1"/>
      <c r="H15" s="1"/>
      <c r="I15" s="1"/>
      <c r="J15" s="1"/>
      <c r="K15" s="1"/>
      <c r="L15" s="1"/>
      <c r="M15" s="1"/>
      <c r="N15" s="1"/>
      <c r="O15" s="1"/>
      <c r="P15" s="1"/>
      <c r="Q15" s="1"/>
      <c r="R15" s="1"/>
      <c r="S15" s="1"/>
      <c r="T15" s="1"/>
      <c r="U15" s="1"/>
      <c r="V15" s="1"/>
      <c r="W15" s="1"/>
      <c r="X15" s="1"/>
      <c r="Y15" s="1"/>
      <c r="Z15" s="1"/>
    </row>
    <row r="16" spans="1:26">
      <c r="A16" s="1" t="s">
        <v>139</v>
      </c>
      <c r="B16" s="6">
        <v>0</v>
      </c>
      <c r="C16" s="6">
        <f>B15-C15</f>
        <v>3840.2158345619791</v>
      </c>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54" t="s">
        <v>140</v>
      </c>
      <c r="B19" s="154" t="s">
        <v>140</v>
      </c>
      <c r="C19" s="154" t="s">
        <v>140</v>
      </c>
      <c r="D19" s="154" t="s">
        <v>140</v>
      </c>
      <c r="E19" s="154" t="s">
        <v>140</v>
      </c>
      <c r="F19" s="154" t="s">
        <v>140</v>
      </c>
      <c r="G19" s="154" t="s">
        <v>140</v>
      </c>
      <c r="H19" s="154" t="s">
        <v>140</v>
      </c>
      <c r="I19" s="154" t="s">
        <v>140</v>
      </c>
      <c r="J19" s="154" t="s">
        <v>140</v>
      </c>
      <c r="K19" s="1"/>
      <c r="L19" s="1"/>
      <c r="M19" s="1"/>
      <c r="N19" s="1"/>
      <c r="O19" s="1"/>
      <c r="P19" s="1"/>
      <c r="Q19" s="1"/>
      <c r="R19" s="1"/>
      <c r="S19" s="1"/>
      <c r="T19" s="1"/>
      <c r="U19" s="1"/>
      <c r="V19" s="1"/>
      <c r="W19" s="1"/>
      <c r="X19" s="1"/>
      <c r="Y19" s="1"/>
      <c r="Z19" s="1"/>
    </row>
    <row r="20" spans="1:26">
      <c r="A20" s="154" t="s">
        <v>140</v>
      </c>
      <c r="B20" s="154" t="s">
        <v>140</v>
      </c>
      <c r="C20" s="154" t="s">
        <v>140</v>
      </c>
      <c r="D20" s="154" t="s">
        <v>140</v>
      </c>
      <c r="E20" s="154" t="s">
        <v>140</v>
      </c>
      <c r="F20" s="154" t="s">
        <v>140</v>
      </c>
      <c r="G20" s="154" t="s">
        <v>140</v>
      </c>
      <c r="H20" s="154" t="s">
        <v>140</v>
      </c>
      <c r="I20" s="154" t="s">
        <v>140</v>
      </c>
      <c r="J20" s="154" t="s">
        <v>140</v>
      </c>
      <c r="K20" s="1"/>
      <c r="L20" s="1"/>
      <c r="M20" s="1"/>
      <c r="N20" s="1"/>
      <c r="O20" s="1"/>
      <c r="P20" s="1"/>
      <c r="Q20" s="1"/>
      <c r="R20" s="1"/>
      <c r="S20" s="1"/>
      <c r="T20" s="1"/>
      <c r="U20" s="1"/>
      <c r="V20" s="1"/>
      <c r="W20" s="1"/>
      <c r="X20" s="1"/>
      <c r="Y20" s="1"/>
      <c r="Z20" s="1"/>
    </row>
    <row r="21" spans="1:26">
      <c r="A21" s="154" t="s">
        <v>140</v>
      </c>
      <c r="B21" s="154" t="s">
        <v>140</v>
      </c>
      <c r="C21" s="154" t="s">
        <v>140</v>
      </c>
      <c r="D21" s="154" t="s">
        <v>140</v>
      </c>
      <c r="E21" s="154" t="s">
        <v>140</v>
      </c>
      <c r="F21" s="154" t="s">
        <v>140</v>
      </c>
      <c r="G21" s="154" t="s">
        <v>140</v>
      </c>
      <c r="H21" s="154" t="s">
        <v>140</v>
      </c>
      <c r="I21" s="154" t="s">
        <v>140</v>
      </c>
      <c r="J21" s="154" t="s">
        <v>140</v>
      </c>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4">
    <mergeCell ref="A1:J1"/>
    <mergeCell ref="A2:J2"/>
    <mergeCell ref="A4:D4"/>
    <mergeCell ref="A19:J2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200"/>
  <sheetViews>
    <sheetView showGridLines="0" workbookViewId="0">
      <selection sqref="A1:P1"/>
    </sheetView>
  </sheetViews>
  <sheetFormatPr baseColWidth="10" defaultColWidth="9" defaultRowHeight="14.25"/>
  <cols>
    <col min="1" max="1" width="9" customWidth="1"/>
    <col min="2" max="2" width="18" customWidth="1"/>
    <col min="3" max="4" width="15" customWidth="1"/>
    <col min="5" max="6" width="14" customWidth="1"/>
    <col min="7" max="7" width="17" customWidth="1"/>
    <col min="8" max="8" width="15" customWidth="1"/>
    <col min="9" max="9" width="11" customWidth="1"/>
    <col min="10" max="10" width="10" customWidth="1"/>
    <col min="11" max="11" width="16" customWidth="1"/>
    <col min="12" max="12" width="15" customWidth="1"/>
    <col min="13" max="13" width="14" customWidth="1"/>
    <col min="14" max="14" width="12" customWidth="1"/>
    <col min="15" max="15" width="15" customWidth="1"/>
    <col min="16" max="16" width="13" customWidth="1"/>
  </cols>
  <sheetData>
    <row r="1" spans="1:26" ht="23.25">
      <c r="A1" s="110" t="s">
        <v>141</v>
      </c>
      <c r="B1" s="110" t="s">
        <v>141</v>
      </c>
      <c r="C1" s="110" t="s">
        <v>141</v>
      </c>
      <c r="D1" s="110" t="s">
        <v>141</v>
      </c>
      <c r="E1" s="110" t="s">
        <v>141</v>
      </c>
      <c r="F1" s="110" t="s">
        <v>141</v>
      </c>
      <c r="G1" s="110" t="s">
        <v>141</v>
      </c>
      <c r="H1" s="110" t="s">
        <v>141</v>
      </c>
      <c r="I1" s="110" t="s">
        <v>141</v>
      </c>
      <c r="J1" s="110" t="s">
        <v>141</v>
      </c>
      <c r="K1" s="110" t="s">
        <v>141</v>
      </c>
      <c r="L1" s="110" t="s">
        <v>141</v>
      </c>
      <c r="M1" s="110" t="s">
        <v>141</v>
      </c>
      <c r="N1" s="110" t="s">
        <v>141</v>
      </c>
      <c r="O1" s="110" t="s">
        <v>141</v>
      </c>
      <c r="P1" s="110" t="s">
        <v>141</v>
      </c>
      <c r="Q1" s="1"/>
      <c r="R1" s="1"/>
      <c r="S1" s="1"/>
      <c r="T1" s="1"/>
      <c r="U1" s="1"/>
      <c r="V1" s="1"/>
      <c r="W1" s="1"/>
      <c r="X1" s="1"/>
      <c r="Y1" s="1"/>
      <c r="Z1" s="1"/>
    </row>
    <row r="2" spans="1:26">
      <c r="A2" s="111" t="s">
        <v>142</v>
      </c>
      <c r="B2" s="111" t="s">
        <v>142</v>
      </c>
      <c r="C2" s="111" t="s">
        <v>142</v>
      </c>
      <c r="D2" s="111" t="s">
        <v>142</v>
      </c>
      <c r="E2" s="111" t="s">
        <v>142</v>
      </c>
      <c r="F2" s="111" t="s">
        <v>142</v>
      </c>
      <c r="G2" s="111" t="s">
        <v>142</v>
      </c>
      <c r="H2" s="111" t="s">
        <v>142</v>
      </c>
      <c r="I2" s="111" t="s">
        <v>142</v>
      </c>
      <c r="J2" s="111" t="s">
        <v>142</v>
      </c>
      <c r="K2" s="111" t="s">
        <v>142</v>
      </c>
      <c r="L2" s="111" t="s">
        <v>142</v>
      </c>
      <c r="M2" s="111" t="s">
        <v>142</v>
      </c>
      <c r="N2" s="111" t="s">
        <v>142</v>
      </c>
      <c r="O2" s="111" t="s">
        <v>142</v>
      </c>
      <c r="P2" s="111" t="s">
        <v>142</v>
      </c>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2" t="s">
        <v>143</v>
      </c>
      <c r="B4" s="3" t="s">
        <v>38</v>
      </c>
      <c r="C4" s="3" t="s">
        <v>144</v>
      </c>
      <c r="D4" s="3" t="s">
        <v>145</v>
      </c>
      <c r="E4" s="3" t="s">
        <v>146</v>
      </c>
      <c r="F4" s="3" t="s">
        <v>147</v>
      </c>
      <c r="G4" s="3" t="s">
        <v>148</v>
      </c>
      <c r="H4" s="3" t="s">
        <v>149</v>
      </c>
      <c r="I4" s="3" t="s">
        <v>150</v>
      </c>
      <c r="J4" s="3" t="s">
        <v>151</v>
      </c>
      <c r="K4" s="3" t="s">
        <v>152</v>
      </c>
      <c r="L4" s="3" t="s">
        <v>153</v>
      </c>
      <c r="M4" s="3" t="s">
        <v>154</v>
      </c>
      <c r="N4" s="3" t="s">
        <v>155</v>
      </c>
      <c r="O4" s="3" t="s">
        <v>156</v>
      </c>
      <c r="P4" s="4" t="s">
        <v>22</v>
      </c>
      <c r="Q4" s="1"/>
      <c r="R4" s="1"/>
      <c r="S4" s="1"/>
      <c r="T4" s="1"/>
      <c r="U4" s="1"/>
      <c r="V4" s="1"/>
      <c r="W4" s="1"/>
      <c r="X4" s="1"/>
      <c r="Y4" s="1"/>
      <c r="Z4" s="1"/>
    </row>
    <row r="5" spans="1:26">
      <c r="A5" s="8" t="s">
        <v>157</v>
      </c>
      <c r="B5" s="8" t="s">
        <v>158</v>
      </c>
      <c r="C5" s="11">
        <v>5000000</v>
      </c>
      <c r="D5" s="11">
        <v>5000000</v>
      </c>
      <c r="E5" s="11">
        <v>180000</v>
      </c>
      <c r="F5" s="11">
        <v>177000</v>
      </c>
      <c r="G5" s="11">
        <v>150000</v>
      </c>
      <c r="H5" s="11">
        <v>150000</v>
      </c>
      <c r="I5" s="11">
        <v>25000</v>
      </c>
      <c r="J5" s="11">
        <v>10000</v>
      </c>
      <c r="K5" s="13">
        <f t="shared" ref="K5:K10" si="0">IF(E5&gt;=0,1,-1)*MAX(ABS(E5)-I5,0)</f>
        <v>155000</v>
      </c>
      <c r="L5" s="13">
        <f t="shared" ref="L5:L10" si="1">IF(ABS(K5-G5)&gt;=J5,K5-G5,0)</f>
        <v>0</v>
      </c>
      <c r="M5" s="13">
        <f t="shared" ref="M5:M10" si="2">C5-D5</f>
        <v>0</v>
      </c>
      <c r="N5" s="13">
        <f t="shared" ref="N5:N10" si="3">E5-F5</f>
        <v>3000</v>
      </c>
      <c r="O5" s="13">
        <f t="shared" ref="O5:O10" si="4">G5-H5</f>
        <v>0</v>
      </c>
      <c r="P5" s="18" t="str">
        <f t="shared" ref="P5:P10" si="5">IF(OR(ABS(M5)&gt;1000,ABS(N5)&gt;5000,ABS(O5)&gt;5000),"EXCEPTION","OK")</f>
        <v>OK</v>
      </c>
      <c r="Q5" s="1"/>
      <c r="R5" s="1"/>
      <c r="S5" s="1"/>
      <c r="T5" s="1"/>
      <c r="U5" s="1"/>
      <c r="V5" s="1"/>
      <c r="W5" s="1"/>
      <c r="X5" s="1"/>
      <c r="Y5" s="1"/>
      <c r="Z5" s="1"/>
    </row>
    <row r="6" spans="1:26">
      <c r="A6" s="19" t="s">
        <v>159</v>
      </c>
      <c r="B6" s="19" t="s">
        <v>160</v>
      </c>
      <c r="C6" s="22">
        <v>8000000</v>
      </c>
      <c r="D6" s="22">
        <v>7980000</v>
      </c>
      <c r="E6" s="22">
        <v>-260000</v>
      </c>
      <c r="F6" s="22">
        <v>-272000</v>
      </c>
      <c r="G6" s="22">
        <v>-220000</v>
      </c>
      <c r="H6" s="22">
        <v>-220000</v>
      </c>
      <c r="I6" s="22">
        <v>25000</v>
      </c>
      <c r="J6" s="22">
        <v>10000</v>
      </c>
      <c r="K6" s="24">
        <f t="shared" si="0"/>
        <v>-235000</v>
      </c>
      <c r="L6" s="24">
        <f t="shared" si="1"/>
        <v>-15000</v>
      </c>
      <c r="M6" s="24">
        <f t="shared" si="2"/>
        <v>20000</v>
      </c>
      <c r="N6" s="24">
        <f t="shared" si="3"/>
        <v>12000</v>
      </c>
      <c r="O6" s="24">
        <f t="shared" si="4"/>
        <v>0</v>
      </c>
      <c r="P6" s="29" t="str">
        <f t="shared" si="5"/>
        <v>EXCEPTION</v>
      </c>
      <c r="Q6" s="1"/>
      <c r="R6" s="1"/>
      <c r="S6" s="1"/>
      <c r="T6" s="1"/>
      <c r="U6" s="1"/>
      <c r="V6" s="1"/>
      <c r="W6" s="1"/>
      <c r="X6" s="1"/>
      <c r="Y6" s="1"/>
      <c r="Z6" s="1"/>
    </row>
    <row r="7" spans="1:26">
      <c r="A7" s="19" t="s">
        <v>161</v>
      </c>
      <c r="B7" s="19" t="s">
        <v>162</v>
      </c>
      <c r="C7" s="22">
        <v>3000000</v>
      </c>
      <c r="D7" s="22">
        <v>3000000</v>
      </c>
      <c r="E7" s="22">
        <v>95000</v>
      </c>
      <c r="F7" s="22">
        <v>92500</v>
      </c>
      <c r="G7" s="22">
        <v>50000</v>
      </c>
      <c r="H7" s="22">
        <v>45000</v>
      </c>
      <c r="I7" s="22">
        <v>20000</v>
      </c>
      <c r="J7" s="22">
        <v>5000</v>
      </c>
      <c r="K7" s="24">
        <f t="shared" si="0"/>
        <v>75000</v>
      </c>
      <c r="L7" s="24">
        <f t="shared" si="1"/>
        <v>25000</v>
      </c>
      <c r="M7" s="24">
        <f t="shared" si="2"/>
        <v>0</v>
      </c>
      <c r="N7" s="24">
        <f t="shared" si="3"/>
        <v>2500</v>
      </c>
      <c r="O7" s="24">
        <f t="shared" si="4"/>
        <v>5000</v>
      </c>
      <c r="P7" s="29" t="str">
        <f t="shared" si="5"/>
        <v>OK</v>
      </c>
      <c r="Q7" s="1"/>
      <c r="R7" s="1"/>
      <c r="S7" s="1"/>
      <c r="T7" s="1"/>
      <c r="U7" s="1"/>
      <c r="V7" s="1"/>
      <c r="W7" s="1"/>
      <c r="X7" s="1"/>
      <c r="Y7" s="1"/>
      <c r="Z7" s="1"/>
    </row>
    <row r="8" spans="1:26">
      <c r="A8" s="19" t="s">
        <v>163</v>
      </c>
      <c r="B8" s="19" t="s">
        <v>164</v>
      </c>
      <c r="C8" s="22">
        <v>2500000</v>
      </c>
      <c r="D8" s="22">
        <v>2500000</v>
      </c>
      <c r="E8" s="22">
        <v>60000</v>
      </c>
      <c r="F8" s="22">
        <v>58000</v>
      </c>
      <c r="G8" s="22">
        <v>0</v>
      </c>
      <c r="H8" s="22">
        <v>0</v>
      </c>
      <c r="I8" s="22">
        <v>50000</v>
      </c>
      <c r="J8" s="22">
        <v>10000</v>
      </c>
      <c r="K8" s="24">
        <f t="shared" si="0"/>
        <v>10000</v>
      </c>
      <c r="L8" s="24">
        <f t="shared" si="1"/>
        <v>10000</v>
      </c>
      <c r="M8" s="24">
        <f t="shared" si="2"/>
        <v>0</v>
      </c>
      <c r="N8" s="24">
        <f t="shared" si="3"/>
        <v>2000</v>
      </c>
      <c r="O8" s="24">
        <f t="shared" si="4"/>
        <v>0</v>
      </c>
      <c r="P8" s="29" t="str">
        <f t="shared" si="5"/>
        <v>OK</v>
      </c>
      <c r="Q8" s="1"/>
      <c r="R8" s="1"/>
      <c r="S8" s="1"/>
      <c r="T8" s="1"/>
      <c r="U8" s="1"/>
      <c r="V8" s="1"/>
      <c r="W8" s="1"/>
      <c r="X8" s="1"/>
      <c r="Y8" s="1"/>
      <c r="Z8" s="1"/>
    </row>
    <row r="9" spans="1:26">
      <c r="A9" s="19" t="s">
        <v>165</v>
      </c>
      <c r="B9" s="19" t="s">
        <v>166</v>
      </c>
      <c r="C9" s="22">
        <v>1500000</v>
      </c>
      <c r="D9" s="22">
        <v>1500000</v>
      </c>
      <c r="E9" s="22">
        <v>-140000</v>
      </c>
      <c r="F9" s="22">
        <v>-137000</v>
      </c>
      <c r="G9" s="22">
        <v>-110000</v>
      </c>
      <c r="H9" s="22">
        <v>-105000</v>
      </c>
      <c r="I9" s="22">
        <v>25000</v>
      </c>
      <c r="J9" s="22">
        <v>10000</v>
      </c>
      <c r="K9" s="24">
        <f t="shared" si="0"/>
        <v>-115000</v>
      </c>
      <c r="L9" s="24">
        <f t="shared" si="1"/>
        <v>0</v>
      </c>
      <c r="M9" s="24">
        <f t="shared" si="2"/>
        <v>0</v>
      </c>
      <c r="N9" s="24">
        <f t="shared" si="3"/>
        <v>-3000</v>
      </c>
      <c r="O9" s="24">
        <f t="shared" si="4"/>
        <v>-5000</v>
      </c>
      <c r="P9" s="29" t="str">
        <f t="shared" si="5"/>
        <v>OK</v>
      </c>
      <c r="Q9" s="1"/>
      <c r="R9" s="1"/>
      <c r="S9" s="1"/>
      <c r="T9" s="1"/>
      <c r="U9" s="1"/>
      <c r="V9" s="1"/>
      <c r="W9" s="1"/>
      <c r="X9" s="1"/>
      <c r="Y9" s="1"/>
      <c r="Z9" s="1"/>
    </row>
    <row r="10" spans="1:26">
      <c r="A10" s="19" t="s">
        <v>167</v>
      </c>
      <c r="B10" s="19" t="s">
        <v>168</v>
      </c>
      <c r="C10" s="22">
        <v>2000000</v>
      </c>
      <c r="D10" s="22">
        <v>2000000</v>
      </c>
      <c r="E10" s="22">
        <v>35000</v>
      </c>
      <c r="F10" s="22">
        <v>34000</v>
      </c>
      <c r="G10" s="22">
        <v>0</v>
      </c>
      <c r="H10" s="22">
        <v>0</v>
      </c>
      <c r="I10" s="22">
        <v>25000</v>
      </c>
      <c r="J10" s="22">
        <v>5000</v>
      </c>
      <c r="K10" s="24">
        <f t="shared" si="0"/>
        <v>10000</v>
      </c>
      <c r="L10" s="24">
        <f t="shared" si="1"/>
        <v>10000</v>
      </c>
      <c r="M10" s="24">
        <f t="shared" si="2"/>
        <v>0</v>
      </c>
      <c r="N10" s="24">
        <f t="shared" si="3"/>
        <v>1000</v>
      </c>
      <c r="O10" s="24">
        <f t="shared" si="4"/>
        <v>0</v>
      </c>
      <c r="P10" s="29" t="str">
        <f t="shared" si="5"/>
        <v>OK</v>
      </c>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
      <c r="A13" s="149" t="s">
        <v>169</v>
      </c>
      <c r="B13" s="149" t="s">
        <v>169</v>
      </c>
      <c r="C13" s="149" t="s">
        <v>169</v>
      </c>
      <c r="D13" s="149" t="s">
        <v>169</v>
      </c>
      <c r="E13" s="149" t="s">
        <v>169</v>
      </c>
      <c r="F13" s="149" t="s">
        <v>169</v>
      </c>
      <c r="G13" s="1"/>
      <c r="H13" s="1"/>
      <c r="I13" s="1"/>
      <c r="J13" s="1"/>
      <c r="K13" s="1"/>
      <c r="L13" s="1"/>
      <c r="M13" s="1"/>
      <c r="N13" s="1"/>
      <c r="O13" s="1"/>
      <c r="P13" s="1"/>
      <c r="Q13" s="1"/>
      <c r="R13" s="1"/>
      <c r="S13" s="1"/>
      <c r="T13" s="1"/>
      <c r="U13" s="1"/>
      <c r="V13" s="1"/>
      <c r="W13" s="1"/>
      <c r="X13" s="1"/>
      <c r="Y13" s="1"/>
      <c r="Z13" s="1"/>
    </row>
    <row r="14" spans="1:26">
      <c r="A14" s="2" t="s">
        <v>7</v>
      </c>
      <c r="B14" s="4" t="s">
        <v>8</v>
      </c>
      <c r="C14" s="1"/>
      <c r="D14" s="1"/>
      <c r="E14" s="1"/>
      <c r="F14" s="1"/>
      <c r="G14" s="1"/>
      <c r="H14" s="1"/>
      <c r="I14" s="1"/>
      <c r="J14" s="1"/>
      <c r="K14" s="1"/>
      <c r="L14" s="1"/>
      <c r="M14" s="1"/>
      <c r="N14" s="1"/>
      <c r="O14" s="1"/>
      <c r="P14" s="1"/>
      <c r="Q14" s="1"/>
      <c r="R14" s="1"/>
      <c r="S14" s="1"/>
      <c r="T14" s="1"/>
      <c r="U14" s="1"/>
      <c r="V14" s="1"/>
      <c r="W14" s="1"/>
      <c r="X14" s="1"/>
      <c r="Y14" s="1"/>
      <c r="Z14" s="1"/>
    </row>
    <row r="15" spans="1:26">
      <c r="A15" s="1" t="s">
        <v>170</v>
      </c>
      <c r="B15" s="5">
        <f>SUMIF(L5:L10,"&gt;0",L5:L10)</f>
        <v>45000</v>
      </c>
      <c r="C15" s="1"/>
      <c r="D15" s="1"/>
      <c r="E15" s="1"/>
      <c r="F15" s="1"/>
      <c r="G15" s="1"/>
      <c r="H15" s="1"/>
      <c r="I15" s="1"/>
      <c r="J15" s="1"/>
      <c r="K15" s="1"/>
      <c r="L15" s="1"/>
      <c r="M15" s="1"/>
      <c r="N15" s="1"/>
      <c r="O15" s="1"/>
      <c r="P15" s="1"/>
      <c r="Q15" s="1"/>
      <c r="R15" s="1"/>
      <c r="S15" s="1"/>
      <c r="T15" s="1"/>
      <c r="U15" s="1"/>
      <c r="V15" s="1"/>
      <c r="W15" s="1"/>
      <c r="X15" s="1"/>
      <c r="Y15" s="1"/>
      <c r="Z15" s="1"/>
    </row>
    <row r="16" spans="1:26">
      <c r="A16" s="1" t="s">
        <v>171</v>
      </c>
      <c r="B16" s="5">
        <f>SUMIF(L5:L10,"&lt;0",L5:L10)</f>
        <v>-15000</v>
      </c>
      <c r="C16" s="1"/>
      <c r="D16" s="1"/>
      <c r="E16" s="1"/>
      <c r="F16" s="1"/>
      <c r="G16" s="1"/>
      <c r="H16" s="1"/>
      <c r="I16" s="1"/>
      <c r="J16" s="1"/>
      <c r="K16" s="1"/>
      <c r="L16" s="1"/>
      <c r="M16" s="1"/>
      <c r="N16" s="1"/>
      <c r="O16" s="1"/>
      <c r="P16" s="1"/>
      <c r="Q16" s="1"/>
      <c r="R16" s="1"/>
      <c r="S16" s="1"/>
      <c r="T16" s="1"/>
      <c r="U16" s="1"/>
      <c r="V16" s="1"/>
      <c r="W16" s="1"/>
      <c r="X16" s="1"/>
      <c r="Y16" s="1"/>
      <c r="Z16" s="1"/>
    </row>
    <row r="17" spans="1:26">
      <c r="A17" s="1" t="s">
        <v>172</v>
      </c>
      <c r="B17" s="76">
        <f>COUNTIF(P5:P10,"EXCEPTION")</f>
        <v>1</v>
      </c>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3">
    <mergeCell ref="A1:P1"/>
    <mergeCell ref="A2:P2"/>
    <mergeCell ref="A13:F13"/>
  </mergeCells>
  <conditionalFormatting sqref="P5:P10">
    <cfRule type="containsText" dxfId="6" priority="1" operator="containsText" text="EXCEPTION"/>
    <cfRule type="containsText" dxfId="5" priority="2" operator="containsText" text="OK"/>
  </conditionalFormatting>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00"/>
  <sheetViews>
    <sheetView showGridLines="0" workbookViewId="0">
      <selection sqref="A1:L1"/>
    </sheetView>
  </sheetViews>
  <sheetFormatPr baseColWidth="10" defaultColWidth="9" defaultRowHeight="14.25"/>
  <cols>
    <col min="1" max="3" width="9" customWidth="1"/>
    <col min="4" max="4" width="13" customWidth="1"/>
    <col min="5" max="5" width="16" customWidth="1"/>
    <col min="6" max="6" width="18" customWidth="1"/>
    <col min="7" max="7" width="12" customWidth="1"/>
    <col min="8" max="8" width="15" customWidth="1"/>
    <col min="9" max="9" width="14" customWidth="1"/>
    <col min="10" max="10" width="11" customWidth="1"/>
    <col min="11" max="11" width="13" customWidth="1"/>
    <col min="12" max="12" width="25" customWidth="1"/>
  </cols>
  <sheetData>
    <row r="1" spans="1:26" ht="23.25">
      <c r="A1" s="110" t="s">
        <v>173</v>
      </c>
      <c r="B1" s="110" t="s">
        <v>173</v>
      </c>
      <c r="C1" s="110" t="s">
        <v>173</v>
      </c>
      <c r="D1" s="110" t="s">
        <v>173</v>
      </c>
      <c r="E1" s="110" t="s">
        <v>173</v>
      </c>
      <c r="F1" s="110" t="s">
        <v>173</v>
      </c>
      <c r="G1" s="110" t="s">
        <v>173</v>
      </c>
      <c r="H1" s="110" t="s">
        <v>173</v>
      </c>
      <c r="I1" s="110" t="s">
        <v>173</v>
      </c>
      <c r="J1" s="110" t="s">
        <v>173</v>
      </c>
      <c r="K1" s="110" t="s">
        <v>173</v>
      </c>
      <c r="L1" s="110" t="s">
        <v>173</v>
      </c>
      <c r="M1" s="1"/>
      <c r="N1" s="1"/>
      <c r="O1" s="1"/>
      <c r="P1" s="1"/>
      <c r="Q1" s="1"/>
      <c r="R1" s="1"/>
      <c r="S1" s="1"/>
      <c r="T1" s="1"/>
      <c r="U1" s="1"/>
      <c r="V1" s="1"/>
      <c r="W1" s="1"/>
      <c r="X1" s="1"/>
      <c r="Y1" s="1"/>
      <c r="Z1" s="1"/>
    </row>
    <row r="2" spans="1:26">
      <c r="A2" s="111" t="s">
        <v>174</v>
      </c>
      <c r="B2" s="111" t="s">
        <v>174</v>
      </c>
      <c r="C2" s="111" t="s">
        <v>174</v>
      </c>
      <c r="D2" s="111" t="s">
        <v>174</v>
      </c>
      <c r="E2" s="111" t="s">
        <v>174</v>
      </c>
      <c r="F2" s="111" t="s">
        <v>174</v>
      </c>
      <c r="G2" s="111" t="s">
        <v>174</v>
      </c>
      <c r="H2" s="111" t="s">
        <v>174</v>
      </c>
      <c r="I2" s="111" t="s">
        <v>174</v>
      </c>
      <c r="J2" s="111" t="s">
        <v>174</v>
      </c>
      <c r="K2" s="111" t="s">
        <v>174</v>
      </c>
      <c r="L2" s="111" t="s">
        <v>174</v>
      </c>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2" t="s">
        <v>143</v>
      </c>
      <c r="B4" s="3" t="s">
        <v>175</v>
      </c>
      <c r="C4" s="3" t="s">
        <v>87</v>
      </c>
      <c r="D4" s="3" t="s">
        <v>176</v>
      </c>
      <c r="E4" s="3" t="s">
        <v>177</v>
      </c>
      <c r="F4" s="3" t="s">
        <v>178</v>
      </c>
      <c r="G4" s="3" t="s">
        <v>179</v>
      </c>
      <c r="H4" s="3" t="s">
        <v>180</v>
      </c>
      <c r="I4" s="3" t="s">
        <v>181</v>
      </c>
      <c r="J4" s="3" t="s">
        <v>182</v>
      </c>
      <c r="K4" s="3" t="s">
        <v>22</v>
      </c>
      <c r="L4" s="4" t="s">
        <v>183</v>
      </c>
      <c r="M4" s="1"/>
      <c r="N4" s="1"/>
      <c r="O4" s="1"/>
      <c r="P4" s="1"/>
      <c r="Q4" s="1"/>
      <c r="R4" s="1"/>
      <c r="S4" s="1"/>
      <c r="T4" s="1"/>
      <c r="U4" s="1"/>
      <c r="V4" s="1"/>
      <c r="W4" s="1"/>
      <c r="X4" s="1"/>
      <c r="Y4" s="1"/>
      <c r="Z4" s="1"/>
    </row>
    <row r="5" spans="1:26">
      <c r="A5" s="8" t="s">
        <v>184</v>
      </c>
      <c r="B5" s="8" t="s">
        <v>185</v>
      </c>
      <c r="C5" s="8" t="s">
        <v>55</v>
      </c>
      <c r="D5" s="9">
        <v>46241</v>
      </c>
      <c r="E5" s="11">
        <v>750000</v>
      </c>
      <c r="F5" s="11">
        <v>750000</v>
      </c>
      <c r="G5" s="85">
        <v>97.94</v>
      </c>
      <c r="H5" s="85">
        <v>97.94</v>
      </c>
      <c r="I5" s="13">
        <f t="shared" ref="I5:I12" si="0">E5-F5</f>
        <v>0</v>
      </c>
      <c r="J5" s="14">
        <f t="shared" ref="J5:J12" si="1">G5-H5</f>
        <v>0</v>
      </c>
      <c r="K5" s="18" t="str">
        <f t="shared" ref="K5:K12" si="2">IF(OR(ABS(I5)&gt;1000,ABS(J5)&gt;0.05),"EXCEPTION","OK")</f>
        <v>OK</v>
      </c>
      <c r="L5" s="18" t="str">
        <f t="shared" ref="L5:L12" si="3">IF(K5="OK","Aucune","Verifier allocation / prix")</f>
        <v>Aucune</v>
      </c>
      <c r="M5" s="1"/>
      <c r="N5" s="1"/>
      <c r="O5" s="1"/>
      <c r="P5" s="1"/>
      <c r="Q5" s="1"/>
      <c r="R5" s="1"/>
      <c r="S5" s="1"/>
      <c r="T5" s="1"/>
      <c r="U5" s="1"/>
      <c r="V5" s="1"/>
      <c r="W5" s="1"/>
      <c r="X5" s="1"/>
      <c r="Y5" s="1"/>
      <c r="Z5" s="1"/>
    </row>
    <row r="6" spans="1:26">
      <c r="A6" s="19" t="s">
        <v>186</v>
      </c>
      <c r="B6" s="19" t="s">
        <v>185</v>
      </c>
      <c r="C6" s="19" t="s">
        <v>64</v>
      </c>
      <c r="D6" s="20">
        <v>46241</v>
      </c>
      <c r="E6" s="22">
        <v>500000</v>
      </c>
      <c r="F6" s="22">
        <v>500000</v>
      </c>
      <c r="G6" s="86">
        <v>100.39</v>
      </c>
      <c r="H6" s="86">
        <v>100.39</v>
      </c>
      <c r="I6" s="24">
        <f t="shared" si="0"/>
        <v>0</v>
      </c>
      <c r="J6" s="25">
        <f t="shared" si="1"/>
        <v>0</v>
      </c>
      <c r="K6" s="29" t="str">
        <f t="shared" si="2"/>
        <v>OK</v>
      </c>
      <c r="L6" s="29" t="str">
        <f t="shared" si="3"/>
        <v>Aucune</v>
      </c>
      <c r="M6" s="1"/>
      <c r="N6" s="1"/>
      <c r="O6" s="1"/>
      <c r="P6" s="1"/>
      <c r="Q6" s="1"/>
      <c r="R6" s="1"/>
      <c r="S6" s="1"/>
      <c r="T6" s="1"/>
      <c r="U6" s="1"/>
      <c r="V6" s="1"/>
      <c r="W6" s="1"/>
      <c r="X6" s="1"/>
      <c r="Y6" s="1"/>
      <c r="Z6" s="1"/>
    </row>
    <row r="7" spans="1:26">
      <c r="A7" s="19" t="s">
        <v>187</v>
      </c>
      <c r="B7" s="19" t="s">
        <v>188</v>
      </c>
      <c r="C7" s="19" t="s">
        <v>59</v>
      </c>
      <c r="D7" s="20">
        <v>46242</v>
      </c>
      <c r="E7" s="22">
        <v>300000</v>
      </c>
      <c r="F7" s="22">
        <v>300000</v>
      </c>
      <c r="G7" s="86">
        <v>99.28</v>
      </c>
      <c r="H7" s="86">
        <v>99.3</v>
      </c>
      <c r="I7" s="24">
        <f t="shared" si="0"/>
        <v>0</v>
      </c>
      <c r="J7" s="25">
        <f t="shared" si="1"/>
        <v>-1.9999999999996021E-2</v>
      </c>
      <c r="K7" s="29" t="str">
        <f t="shared" si="2"/>
        <v>OK</v>
      </c>
      <c r="L7" s="29" t="str">
        <f t="shared" si="3"/>
        <v>Aucune</v>
      </c>
      <c r="M7" s="1"/>
      <c r="N7" s="1"/>
      <c r="O7" s="1"/>
      <c r="P7" s="1"/>
      <c r="Q7" s="1"/>
      <c r="R7" s="1"/>
      <c r="S7" s="1"/>
      <c r="T7" s="1"/>
      <c r="U7" s="1"/>
      <c r="V7" s="1"/>
      <c r="W7" s="1"/>
      <c r="X7" s="1"/>
      <c r="Y7" s="1"/>
      <c r="Z7" s="1"/>
    </row>
    <row r="8" spans="1:26">
      <c r="A8" s="19" t="s">
        <v>189</v>
      </c>
      <c r="B8" s="19" t="s">
        <v>185</v>
      </c>
      <c r="C8" s="19" t="s">
        <v>71</v>
      </c>
      <c r="D8" s="20">
        <v>46242</v>
      </c>
      <c r="E8" s="22">
        <v>250000</v>
      </c>
      <c r="F8" s="22">
        <v>240000</v>
      </c>
      <c r="G8" s="86">
        <v>100.91</v>
      </c>
      <c r="H8" s="86">
        <v>100.91</v>
      </c>
      <c r="I8" s="24">
        <f t="shared" si="0"/>
        <v>10000</v>
      </c>
      <c r="J8" s="25">
        <f t="shared" si="1"/>
        <v>0</v>
      </c>
      <c r="K8" s="29" t="str">
        <f t="shared" si="2"/>
        <v>EXCEPTION</v>
      </c>
      <c r="L8" s="29" t="str">
        <f t="shared" si="3"/>
        <v>Verifier allocation / prix</v>
      </c>
      <c r="M8" s="1"/>
      <c r="N8" s="1"/>
      <c r="O8" s="1"/>
      <c r="P8" s="1"/>
      <c r="Q8" s="1"/>
      <c r="R8" s="1"/>
      <c r="S8" s="1"/>
      <c r="T8" s="1"/>
      <c r="U8" s="1"/>
      <c r="V8" s="1"/>
      <c r="W8" s="1"/>
      <c r="X8" s="1"/>
      <c r="Y8" s="1"/>
      <c r="Z8" s="1"/>
    </row>
    <row r="9" spans="1:26">
      <c r="A9" s="19" t="s">
        <v>190</v>
      </c>
      <c r="B9" s="19" t="s">
        <v>185</v>
      </c>
      <c r="C9" s="19" t="s">
        <v>61</v>
      </c>
      <c r="D9" s="20">
        <v>46243</v>
      </c>
      <c r="E9" s="22">
        <v>400000</v>
      </c>
      <c r="F9" s="22">
        <v>400000</v>
      </c>
      <c r="G9" s="86">
        <v>101.39</v>
      </c>
      <c r="H9" s="86">
        <v>101.15</v>
      </c>
      <c r="I9" s="24">
        <f t="shared" si="0"/>
        <v>0</v>
      </c>
      <c r="J9" s="25">
        <f t="shared" si="1"/>
        <v>0.23999999999999488</v>
      </c>
      <c r="K9" s="29" t="str">
        <f t="shared" si="2"/>
        <v>EXCEPTION</v>
      </c>
      <c r="L9" s="29" t="str">
        <f t="shared" si="3"/>
        <v>Verifier allocation / prix</v>
      </c>
      <c r="M9" s="1"/>
      <c r="N9" s="1"/>
      <c r="O9" s="1"/>
      <c r="P9" s="1"/>
      <c r="Q9" s="1"/>
      <c r="R9" s="1"/>
      <c r="S9" s="1"/>
      <c r="T9" s="1"/>
      <c r="U9" s="1"/>
      <c r="V9" s="1"/>
      <c r="W9" s="1"/>
      <c r="X9" s="1"/>
      <c r="Y9" s="1"/>
      <c r="Z9" s="1"/>
    </row>
    <row r="10" spans="1:26">
      <c r="A10" s="19" t="s">
        <v>191</v>
      </c>
      <c r="B10" s="19" t="s">
        <v>188</v>
      </c>
      <c r="C10" s="19" t="s">
        <v>74</v>
      </c>
      <c r="D10" s="20">
        <v>46243</v>
      </c>
      <c r="E10" s="22">
        <v>350000</v>
      </c>
      <c r="F10" s="22">
        <v>350000</v>
      </c>
      <c r="G10" s="86">
        <v>102.75</v>
      </c>
      <c r="H10" s="86">
        <v>102.75</v>
      </c>
      <c r="I10" s="24">
        <f t="shared" si="0"/>
        <v>0</v>
      </c>
      <c r="J10" s="25">
        <f t="shared" si="1"/>
        <v>0</v>
      </c>
      <c r="K10" s="29" t="str">
        <f t="shared" si="2"/>
        <v>OK</v>
      </c>
      <c r="L10" s="29" t="str">
        <f t="shared" si="3"/>
        <v>Aucune</v>
      </c>
      <c r="M10" s="1"/>
      <c r="N10" s="1"/>
      <c r="O10" s="1"/>
      <c r="P10" s="1"/>
      <c r="Q10" s="1"/>
      <c r="R10" s="1"/>
      <c r="S10" s="1"/>
      <c r="T10" s="1"/>
      <c r="U10" s="1"/>
      <c r="V10" s="1"/>
      <c r="W10" s="1"/>
      <c r="X10" s="1"/>
      <c r="Y10" s="1"/>
      <c r="Z10" s="1"/>
    </row>
    <row r="11" spans="1:26">
      <c r="A11" s="19" t="s">
        <v>192</v>
      </c>
      <c r="B11" s="19" t="s">
        <v>185</v>
      </c>
      <c r="C11" s="19" t="s">
        <v>68</v>
      </c>
      <c r="D11" s="20">
        <v>46244</v>
      </c>
      <c r="E11" s="22">
        <v>200000</v>
      </c>
      <c r="F11" s="22">
        <v>200000</v>
      </c>
      <c r="G11" s="86">
        <v>101.29</v>
      </c>
      <c r="H11" s="86">
        <v>101.29</v>
      </c>
      <c r="I11" s="24">
        <f t="shared" si="0"/>
        <v>0</v>
      </c>
      <c r="J11" s="25">
        <f t="shared" si="1"/>
        <v>0</v>
      </c>
      <c r="K11" s="29" t="str">
        <f t="shared" si="2"/>
        <v>OK</v>
      </c>
      <c r="L11" s="29" t="str">
        <f t="shared" si="3"/>
        <v>Aucune</v>
      </c>
      <c r="M11" s="1"/>
      <c r="N11" s="1"/>
      <c r="O11" s="1"/>
      <c r="P11" s="1"/>
      <c r="Q11" s="1"/>
      <c r="R11" s="1"/>
      <c r="S11" s="1"/>
      <c r="T11" s="1"/>
      <c r="U11" s="1"/>
      <c r="V11" s="1"/>
      <c r="W11" s="1"/>
      <c r="X11" s="1"/>
      <c r="Y11" s="1"/>
      <c r="Z11" s="1"/>
    </row>
    <row r="12" spans="1:26">
      <c r="A12" s="19" t="s">
        <v>193</v>
      </c>
      <c r="B12" s="19" t="s">
        <v>185</v>
      </c>
      <c r="C12" s="19" t="s">
        <v>76</v>
      </c>
      <c r="D12" s="20">
        <v>46244</v>
      </c>
      <c r="E12" s="22">
        <v>150000</v>
      </c>
      <c r="F12" s="22">
        <v>150000</v>
      </c>
      <c r="G12" s="86">
        <v>100.81</v>
      </c>
      <c r="H12" s="86">
        <v>100.79</v>
      </c>
      <c r="I12" s="24">
        <f t="shared" si="0"/>
        <v>0</v>
      </c>
      <c r="J12" s="25">
        <f t="shared" si="1"/>
        <v>1.9999999999996021E-2</v>
      </c>
      <c r="K12" s="29" t="str">
        <f t="shared" si="2"/>
        <v>OK</v>
      </c>
      <c r="L12" s="29" t="str">
        <f t="shared" si="3"/>
        <v>Aucune</v>
      </c>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2">
    <mergeCell ref="A1:L1"/>
    <mergeCell ref="A2:L2"/>
  </mergeCells>
  <conditionalFormatting sqref="K5:K12">
    <cfRule type="containsText" dxfId="4" priority="1" operator="containsText" text="EXCEPTION"/>
    <cfRule type="containsText" dxfId="3" priority="2" operator="containsText" text="OK"/>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00"/>
  <sheetViews>
    <sheetView showGridLines="0" workbookViewId="0">
      <selection sqref="A1:G1"/>
    </sheetView>
  </sheetViews>
  <sheetFormatPr baseColWidth="10" defaultColWidth="9" defaultRowHeight="14.25"/>
  <cols>
    <col min="1" max="1" width="30" customWidth="1"/>
    <col min="2" max="5" width="18" customWidth="1"/>
    <col min="6" max="6" width="24" customWidth="1"/>
    <col min="7" max="7" width="28" customWidth="1"/>
  </cols>
  <sheetData>
    <row r="1" spans="1:26" ht="23.25">
      <c r="A1" s="110" t="s">
        <v>194</v>
      </c>
      <c r="B1" s="110" t="s">
        <v>194</v>
      </c>
      <c r="C1" s="110" t="s">
        <v>194</v>
      </c>
      <c r="D1" s="110" t="s">
        <v>194</v>
      </c>
      <c r="E1" s="110" t="s">
        <v>194</v>
      </c>
      <c r="F1" s="110" t="s">
        <v>194</v>
      </c>
      <c r="G1" s="110" t="s">
        <v>194</v>
      </c>
      <c r="H1" s="1"/>
      <c r="I1" s="1"/>
      <c r="J1" s="1"/>
      <c r="K1" s="1"/>
      <c r="L1" s="1"/>
      <c r="M1" s="1"/>
      <c r="N1" s="1"/>
      <c r="O1" s="1"/>
      <c r="P1" s="1"/>
      <c r="Q1" s="1"/>
      <c r="R1" s="1"/>
      <c r="S1" s="1"/>
      <c r="T1" s="1"/>
      <c r="U1" s="1"/>
      <c r="V1" s="1"/>
      <c r="W1" s="1"/>
      <c r="X1" s="1"/>
      <c r="Y1" s="1"/>
      <c r="Z1" s="1"/>
    </row>
    <row r="2" spans="1:26">
      <c r="A2" s="111" t="s">
        <v>195</v>
      </c>
      <c r="B2" s="111" t="s">
        <v>195</v>
      </c>
      <c r="C2" s="111" t="s">
        <v>195</v>
      </c>
      <c r="D2" s="111" t="s">
        <v>195</v>
      </c>
      <c r="E2" s="111" t="s">
        <v>195</v>
      </c>
      <c r="F2" s="111" t="s">
        <v>195</v>
      </c>
      <c r="G2" s="111" t="s">
        <v>195</v>
      </c>
      <c r="H2" s="1"/>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2" t="s">
        <v>196</v>
      </c>
      <c r="B4" s="3" t="s">
        <v>8</v>
      </c>
      <c r="C4" s="3" t="s">
        <v>197</v>
      </c>
      <c r="D4" s="3" t="s">
        <v>198</v>
      </c>
      <c r="E4" s="3" t="s">
        <v>22</v>
      </c>
      <c r="F4" s="3" t="s">
        <v>199</v>
      </c>
      <c r="G4" s="4" t="s">
        <v>200</v>
      </c>
      <c r="H4" s="1"/>
      <c r="I4" s="1"/>
      <c r="J4" s="1"/>
      <c r="K4" s="1"/>
      <c r="L4" s="1"/>
      <c r="M4" s="1"/>
      <c r="N4" s="1"/>
      <c r="O4" s="1"/>
      <c r="P4" s="1"/>
      <c r="Q4" s="1"/>
      <c r="R4" s="1"/>
      <c r="S4" s="1"/>
      <c r="T4" s="1"/>
      <c r="U4" s="1"/>
      <c r="V4" s="1"/>
      <c r="W4" s="1"/>
      <c r="X4" s="1"/>
      <c r="Y4" s="1"/>
      <c r="Z4" s="1"/>
    </row>
    <row r="5" spans="1:26">
      <c r="A5" s="18" t="s">
        <v>201</v>
      </c>
      <c r="B5" s="88">
        <f>Portefeuille!$Q$13</f>
        <v>0.99999999999999989</v>
      </c>
      <c r="C5" s="18">
        <f>100%</f>
        <v>1</v>
      </c>
      <c r="D5" s="18">
        <v>1E-8</v>
      </c>
      <c r="E5" s="18" t="str">
        <f>IF(ABS(B5-1)&lt;=D5,"OK","A REVOIR")</f>
        <v>OK</v>
      </c>
      <c r="F5" s="18" t="s">
        <v>202</v>
      </c>
      <c r="G5" s="89" t="s">
        <v>203</v>
      </c>
      <c r="H5" s="1"/>
      <c r="I5" s="1"/>
      <c r="J5" s="1"/>
      <c r="K5" s="1"/>
      <c r="L5" s="1"/>
      <c r="M5" s="1"/>
      <c r="N5" s="1"/>
      <c r="O5" s="1"/>
      <c r="P5" s="1"/>
      <c r="Q5" s="1"/>
      <c r="R5" s="1"/>
      <c r="S5" s="1"/>
      <c r="T5" s="1"/>
      <c r="U5" s="1"/>
      <c r="V5" s="1"/>
      <c r="W5" s="1"/>
      <c r="X5" s="1"/>
      <c r="Y5" s="1"/>
      <c r="Z5" s="1"/>
    </row>
    <row r="6" spans="1:26">
      <c r="A6" s="29" t="s">
        <v>204</v>
      </c>
      <c r="B6" s="61">
        <f>Portefeuille!$K$13</f>
        <v>10227860.405253148</v>
      </c>
      <c r="C6" s="29" t="s">
        <v>205</v>
      </c>
      <c r="D6" s="29">
        <v>0</v>
      </c>
      <c r="E6" s="29" t="str">
        <f>IF(B6&gt;D6,"OK","A REVOIR")</f>
        <v>OK</v>
      </c>
      <c r="F6" s="29" t="s">
        <v>206</v>
      </c>
      <c r="G6" s="90" t="s">
        <v>207</v>
      </c>
      <c r="H6" s="1"/>
      <c r="I6" s="1"/>
      <c r="J6" s="1"/>
      <c r="K6" s="1"/>
      <c r="L6" s="1"/>
      <c r="M6" s="1"/>
      <c r="N6" s="1"/>
      <c r="O6" s="1"/>
      <c r="P6" s="1"/>
      <c r="Q6" s="1"/>
      <c r="R6" s="1"/>
      <c r="S6" s="1"/>
      <c r="T6" s="1"/>
      <c r="U6" s="1"/>
      <c r="V6" s="1"/>
      <c r="W6" s="1"/>
      <c r="X6" s="1"/>
      <c r="Y6" s="1"/>
      <c r="Z6" s="1"/>
    </row>
    <row r="7" spans="1:26">
      <c r="A7" s="29" t="s">
        <v>208</v>
      </c>
      <c r="B7" s="61">
        <f>Portefeuille!$O$13</f>
        <v>3875.1079172809896</v>
      </c>
      <c r="C7" s="29" t="s">
        <v>205</v>
      </c>
      <c r="D7" s="29">
        <v>0</v>
      </c>
      <c r="E7" s="29" t="str">
        <f>IF(B7&gt;D7,"OK","A REVOIR")</f>
        <v>OK</v>
      </c>
      <c r="F7" s="29" t="s">
        <v>209</v>
      </c>
      <c r="G7" s="90" t="s">
        <v>210</v>
      </c>
      <c r="H7" s="1"/>
      <c r="I7" s="1"/>
      <c r="J7" s="1"/>
      <c r="K7" s="1"/>
      <c r="L7" s="1"/>
      <c r="M7" s="1"/>
      <c r="N7" s="1"/>
      <c r="O7" s="1"/>
      <c r="P7" s="1"/>
      <c r="Q7" s="1"/>
      <c r="R7" s="1"/>
      <c r="S7" s="1"/>
      <c r="T7" s="1"/>
      <c r="U7" s="1"/>
      <c r="V7" s="1"/>
      <c r="W7" s="1"/>
      <c r="X7" s="1"/>
      <c r="Y7" s="1"/>
      <c r="Z7" s="1"/>
    </row>
    <row r="8" spans="1:26">
      <c r="A8" s="29" t="s">
        <v>211</v>
      </c>
      <c r="B8" s="61">
        <f>'Stress Tests'!$B$49</f>
        <v>0</v>
      </c>
      <c r="C8" s="29">
        <f>0</f>
        <v>0</v>
      </c>
      <c r="D8" s="29">
        <v>0.01</v>
      </c>
      <c r="E8" s="29" t="str">
        <f>IF(ABS(B8)&lt;=D8,"OK","A REVOIR")</f>
        <v>OK</v>
      </c>
      <c r="F8" s="29" t="s">
        <v>212</v>
      </c>
      <c r="G8" s="90" t="s">
        <v>213</v>
      </c>
      <c r="H8" s="1"/>
      <c r="I8" s="1"/>
      <c r="J8" s="1"/>
      <c r="K8" s="1"/>
      <c r="L8" s="1"/>
      <c r="M8" s="1"/>
      <c r="N8" s="1"/>
      <c r="O8" s="1"/>
      <c r="P8" s="1"/>
      <c r="Q8" s="1"/>
      <c r="R8" s="1"/>
      <c r="S8" s="1"/>
      <c r="T8" s="1"/>
      <c r="U8" s="1"/>
      <c r="V8" s="1"/>
      <c r="W8" s="1"/>
      <c r="X8" s="1"/>
      <c r="Y8" s="1"/>
      <c r="Z8" s="1"/>
    </row>
    <row r="9" spans="1:26">
      <c r="A9" s="29" t="s">
        <v>31</v>
      </c>
      <c r="B9" s="91">
        <f>Collateral!$B$17</f>
        <v>1</v>
      </c>
      <c r="C9" s="29">
        <f>1</f>
        <v>1</v>
      </c>
      <c r="D9" s="29">
        <v>1</v>
      </c>
      <c r="E9" s="29" t="str">
        <f>IF(B9=D9,"OK","A REVOIR")</f>
        <v>OK</v>
      </c>
      <c r="F9" s="29" t="s">
        <v>214</v>
      </c>
      <c r="G9" s="90" t="s">
        <v>215</v>
      </c>
      <c r="H9" s="1"/>
      <c r="I9" s="1"/>
      <c r="J9" s="1"/>
      <c r="K9" s="1"/>
      <c r="L9" s="1"/>
      <c r="M9" s="1"/>
      <c r="N9" s="1"/>
      <c r="O9" s="1"/>
      <c r="P9" s="1"/>
      <c r="Q9" s="1"/>
      <c r="R9" s="1"/>
      <c r="S9" s="1"/>
      <c r="T9" s="1"/>
      <c r="U9" s="1"/>
      <c r="V9" s="1"/>
      <c r="W9" s="1"/>
      <c r="X9" s="1"/>
      <c r="Y9" s="1"/>
      <c r="Z9" s="1"/>
    </row>
    <row r="10" spans="1:26">
      <c r="A10" s="29" t="s">
        <v>33</v>
      </c>
      <c r="B10" s="91">
        <f>COUNTIF(Reconciliation!$K$5:$K$12,"EXCEPTION")</f>
        <v>2</v>
      </c>
      <c r="C10" s="29">
        <f>2</f>
        <v>2</v>
      </c>
      <c r="D10" s="29">
        <v>2</v>
      </c>
      <c r="E10" s="29" t="str">
        <f>IF(B10=D10,"OK","A REVOIR")</f>
        <v>OK</v>
      </c>
      <c r="F10" s="29" t="s">
        <v>216</v>
      </c>
      <c r="G10" s="90" t="s">
        <v>215</v>
      </c>
      <c r="H10" s="1"/>
      <c r="I10" s="1"/>
      <c r="J10" s="1"/>
      <c r="K10" s="1"/>
      <c r="L10" s="1"/>
      <c r="M10" s="1"/>
      <c r="N10" s="1"/>
      <c r="O10" s="1"/>
      <c r="P10" s="1"/>
      <c r="Q10" s="1"/>
      <c r="R10" s="1"/>
      <c r="S10" s="1"/>
      <c r="T10" s="1"/>
      <c r="U10" s="1"/>
      <c r="V10" s="1"/>
      <c r="W10" s="1"/>
      <c r="X10" s="1"/>
      <c r="Y10" s="1"/>
      <c r="Z10" s="1"/>
    </row>
    <row r="11" spans="1:26">
      <c r="A11" s="29" t="s">
        <v>27</v>
      </c>
      <c r="B11" s="92">
        <f>Couverture!$B$10</f>
        <v>0.99099584231876237</v>
      </c>
      <c r="C11" s="29" t="s">
        <v>28</v>
      </c>
      <c r="D11" s="29">
        <v>0.95</v>
      </c>
      <c r="E11" s="29" t="str">
        <f>IF(B11&gt;=D11,"OK","A REVOIR")</f>
        <v>OK</v>
      </c>
      <c r="F11" s="29" t="s">
        <v>217</v>
      </c>
      <c r="G11" s="90" t="s">
        <v>218</v>
      </c>
      <c r="H11" s="1"/>
      <c r="I11" s="1"/>
      <c r="J11" s="1"/>
      <c r="K11" s="1"/>
      <c r="L11" s="1"/>
      <c r="M11" s="1"/>
      <c r="N11" s="1"/>
      <c r="O11" s="1"/>
      <c r="P11" s="1"/>
      <c r="Q11" s="1"/>
      <c r="R11" s="1"/>
      <c r="S11" s="1"/>
      <c r="T11" s="1"/>
      <c r="U11" s="1"/>
      <c r="V11" s="1"/>
      <c r="W11" s="1"/>
      <c r="X11" s="1"/>
      <c r="Y11" s="1"/>
      <c r="Z11" s="1"/>
    </row>
    <row r="12" spans="1:26">
      <c r="A12" s="29" t="s">
        <v>219</v>
      </c>
      <c r="B12" s="91">
        <f>COUNTIF(Portefeuille!$J$5:$J$12,"&lt;=0")</f>
        <v>0</v>
      </c>
      <c r="C12" s="29">
        <f>0</f>
        <v>0</v>
      </c>
      <c r="D12" s="29">
        <v>0</v>
      </c>
      <c r="E12" s="29" t="str">
        <f>IF(B12=D12,"OK","A REVOIR")</f>
        <v>OK</v>
      </c>
      <c r="F12" s="29" t="s">
        <v>220</v>
      </c>
      <c r="G12" s="90" t="s">
        <v>221</v>
      </c>
      <c r="H12" s="1"/>
      <c r="I12" s="1"/>
      <c r="J12" s="1"/>
      <c r="K12" s="1"/>
      <c r="L12" s="1"/>
      <c r="M12" s="1"/>
      <c r="N12" s="1"/>
      <c r="O12" s="1"/>
      <c r="P12" s="1"/>
      <c r="Q12" s="1"/>
      <c r="R12" s="1"/>
      <c r="S12" s="1"/>
      <c r="T12" s="1"/>
      <c r="U12" s="1"/>
      <c r="V12" s="1"/>
      <c r="W12" s="1"/>
      <c r="X12" s="1"/>
      <c r="Y12" s="1"/>
      <c r="Z12" s="1"/>
    </row>
    <row r="13" spans="1:26">
      <c r="A13" s="29" t="s">
        <v>222</v>
      </c>
      <c r="B13" s="91">
        <f>SUM('Stress Tests'!$K$13:$K$20)-'Stress Tests'!$B$50</f>
        <v>0</v>
      </c>
      <c r="C13" s="29">
        <f>0</f>
        <v>0</v>
      </c>
      <c r="D13" s="29">
        <v>0.01</v>
      </c>
      <c r="E13" s="29" t="str">
        <f>IF(ABS(B13)&lt;=D13,"OK","A REVOIR")</f>
        <v>OK</v>
      </c>
      <c r="F13" s="29" t="s">
        <v>223</v>
      </c>
      <c r="G13" s="90" t="s">
        <v>224</v>
      </c>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87" t="s">
        <v>225</v>
      </c>
      <c r="B16" s="1" t="str">
        <f>IF(COUNTIF(E5:E13,"&lt;&gt;OK")=0,"OK","A REVOIR")</f>
        <v>OK</v>
      </c>
      <c r="C16" s="1"/>
      <c r="D16" s="1"/>
      <c r="E16" s="1"/>
      <c r="F16" s="1"/>
      <c r="G16" s="1"/>
      <c r="H16" s="1"/>
      <c r="I16" s="1"/>
      <c r="J16" s="1"/>
      <c r="K16" s="1"/>
      <c r="L16" s="1"/>
      <c r="M16" s="1"/>
      <c r="N16" s="1"/>
      <c r="O16" s="1"/>
      <c r="P16" s="1"/>
      <c r="Q16" s="1"/>
      <c r="R16" s="1"/>
      <c r="S16" s="1"/>
      <c r="T16" s="1"/>
      <c r="U16" s="1"/>
      <c r="V16" s="1"/>
      <c r="W16" s="1"/>
      <c r="X16" s="1"/>
      <c r="Y16" s="1"/>
      <c r="Z16" s="1"/>
    </row>
    <row r="17" spans="1:26">
      <c r="A17" s="87" t="s">
        <v>226</v>
      </c>
      <c r="B17" s="1">
        <f>COUNTIF(E5:E13,"&lt;&gt;OK")</f>
        <v>0</v>
      </c>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2">
    <mergeCell ref="A1:G1"/>
    <mergeCell ref="A2:G2"/>
  </mergeCells>
  <conditionalFormatting sqref="E5:E13">
    <cfRule type="containsText" dxfId="2" priority="1" operator="containsText" text="A REVOIR"/>
    <cfRule type="containsText" dxfId="1" priority="2" operator="containsText" text="OK"/>
  </conditionalFormatting>
  <conditionalFormatting sqref="B16">
    <cfRule type="containsText" dxfId="0" priority="3" operator="containsText" text="OK"/>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00"/>
  <sheetViews>
    <sheetView showGridLines="0" workbookViewId="0">
      <selection sqref="A1:F1"/>
    </sheetView>
  </sheetViews>
  <sheetFormatPr baseColWidth="10" defaultColWidth="9" defaultRowHeight="14.25"/>
  <cols>
    <col min="1" max="1" width="7" customWidth="1"/>
    <col min="2" max="2" width="28" customWidth="1"/>
    <col min="3" max="3" width="20" customWidth="1"/>
    <col min="4" max="4" width="60" customWidth="1"/>
    <col min="5" max="5" width="30" customWidth="1"/>
    <col min="6" max="6" width="34" customWidth="1"/>
  </cols>
  <sheetData>
    <row r="1" spans="1:26" ht="23.25">
      <c r="A1" s="110" t="s">
        <v>227</v>
      </c>
      <c r="B1" s="110" t="s">
        <v>227</v>
      </c>
      <c r="C1" s="110" t="s">
        <v>227</v>
      </c>
      <c r="D1" s="110" t="s">
        <v>227</v>
      </c>
      <c r="E1" s="110" t="s">
        <v>227</v>
      </c>
      <c r="F1" s="110" t="s">
        <v>227</v>
      </c>
      <c r="G1" s="1"/>
      <c r="H1" s="1"/>
      <c r="I1" s="1"/>
      <c r="J1" s="1"/>
      <c r="K1" s="1"/>
      <c r="L1" s="1"/>
      <c r="M1" s="1"/>
      <c r="N1" s="1"/>
      <c r="O1" s="1"/>
      <c r="P1" s="1"/>
      <c r="Q1" s="1"/>
      <c r="R1" s="1"/>
      <c r="S1" s="1"/>
      <c r="T1" s="1"/>
      <c r="U1" s="1"/>
      <c r="V1" s="1"/>
      <c r="W1" s="1"/>
      <c r="X1" s="1"/>
      <c r="Y1" s="1"/>
      <c r="Z1" s="1"/>
    </row>
    <row r="2" spans="1:26">
      <c r="A2" s="111" t="s">
        <v>228</v>
      </c>
      <c r="B2" s="111" t="s">
        <v>228</v>
      </c>
      <c r="C2" s="111" t="s">
        <v>228</v>
      </c>
      <c r="D2" s="111" t="s">
        <v>228</v>
      </c>
      <c r="E2" s="111" t="s">
        <v>228</v>
      </c>
      <c r="F2" s="111" t="s">
        <v>228</v>
      </c>
      <c r="G2" s="1"/>
      <c r="H2" s="1"/>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2" t="s">
        <v>37</v>
      </c>
      <c r="B4" s="3" t="s">
        <v>229</v>
      </c>
      <c r="C4" s="3" t="s">
        <v>230</v>
      </c>
      <c r="D4" s="3" t="s">
        <v>231</v>
      </c>
      <c r="E4" s="3" t="s">
        <v>232</v>
      </c>
      <c r="F4" s="4" t="s">
        <v>233</v>
      </c>
      <c r="G4" s="1"/>
      <c r="H4" s="1"/>
      <c r="I4" s="1"/>
      <c r="J4" s="1"/>
      <c r="K4" s="1"/>
      <c r="L4" s="1"/>
      <c r="M4" s="1"/>
      <c r="N4" s="1"/>
      <c r="O4" s="1"/>
      <c r="P4" s="1"/>
      <c r="Q4" s="1"/>
      <c r="R4" s="1"/>
      <c r="S4" s="1"/>
      <c r="T4" s="1"/>
      <c r="U4" s="1"/>
      <c r="V4" s="1"/>
      <c r="W4" s="1"/>
      <c r="X4" s="1"/>
      <c r="Y4" s="1"/>
      <c r="Z4" s="1"/>
    </row>
    <row r="5" spans="1:26">
      <c r="A5" s="89" t="s">
        <v>234</v>
      </c>
      <c r="B5" s="89" t="s">
        <v>235</v>
      </c>
      <c r="C5" s="89" t="s">
        <v>236</v>
      </c>
      <c r="D5" s="93" t="s">
        <v>237</v>
      </c>
      <c r="E5" s="89" t="s">
        <v>238</v>
      </c>
      <c r="F5" s="89" t="s">
        <v>239</v>
      </c>
      <c r="G5" s="1"/>
      <c r="H5" s="1"/>
      <c r="I5" s="1"/>
      <c r="J5" s="1"/>
      <c r="K5" s="1"/>
      <c r="L5" s="1"/>
      <c r="M5" s="1"/>
      <c r="N5" s="1"/>
      <c r="O5" s="1"/>
      <c r="P5" s="1"/>
      <c r="Q5" s="1"/>
      <c r="R5" s="1"/>
      <c r="S5" s="1"/>
      <c r="T5" s="1"/>
      <c r="U5" s="1"/>
      <c r="V5" s="1"/>
      <c r="W5" s="1"/>
      <c r="X5" s="1"/>
      <c r="Y5" s="1"/>
      <c r="Z5" s="1"/>
    </row>
    <row r="6" spans="1:26" ht="25.5">
      <c r="A6" s="90" t="s">
        <v>240</v>
      </c>
      <c r="B6" s="90" t="s">
        <v>241</v>
      </c>
      <c r="C6" s="90" t="s">
        <v>242</v>
      </c>
      <c r="D6" s="94" t="s">
        <v>243</v>
      </c>
      <c r="E6" s="90" t="s">
        <v>244</v>
      </c>
      <c r="F6" s="90" t="s">
        <v>245</v>
      </c>
      <c r="G6" s="1"/>
      <c r="H6" s="1"/>
      <c r="I6" s="1"/>
      <c r="J6" s="1"/>
      <c r="K6" s="1"/>
      <c r="L6" s="1"/>
      <c r="M6" s="1"/>
      <c r="N6" s="1"/>
      <c r="O6" s="1"/>
      <c r="P6" s="1"/>
      <c r="Q6" s="1"/>
      <c r="R6" s="1"/>
      <c r="S6" s="1"/>
      <c r="T6" s="1"/>
      <c r="U6" s="1"/>
      <c r="V6" s="1"/>
      <c r="W6" s="1"/>
      <c r="X6" s="1"/>
      <c r="Y6" s="1"/>
      <c r="Z6" s="1"/>
    </row>
    <row r="7" spans="1:26" ht="25.5">
      <c r="A7" s="90" t="s">
        <v>246</v>
      </c>
      <c r="B7" s="90" t="s">
        <v>247</v>
      </c>
      <c r="C7" s="90" t="s">
        <v>242</v>
      </c>
      <c r="D7" s="94" t="s">
        <v>248</v>
      </c>
      <c r="E7" s="90" t="s">
        <v>249</v>
      </c>
      <c r="F7" s="90" t="s">
        <v>250</v>
      </c>
      <c r="G7" s="1"/>
      <c r="H7" s="1"/>
      <c r="I7" s="1"/>
      <c r="J7" s="1"/>
      <c r="K7" s="1"/>
      <c r="L7" s="1"/>
      <c r="M7" s="1"/>
      <c r="N7" s="1"/>
      <c r="O7" s="1"/>
      <c r="P7" s="1"/>
      <c r="Q7" s="1"/>
      <c r="R7" s="1"/>
      <c r="S7" s="1"/>
      <c r="T7" s="1"/>
      <c r="U7" s="1"/>
      <c r="V7" s="1"/>
      <c r="W7" s="1"/>
      <c r="X7" s="1"/>
      <c r="Y7" s="1"/>
      <c r="Z7" s="1"/>
    </row>
    <row r="8" spans="1:26">
      <c r="A8" s="90" t="s">
        <v>251</v>
      </c>
      <c r="B8" s="90" t="s">
        <v>252</v>
      </c>
      <c r="C8" s="90" t="s">
        <v>253</v>
      </c>
      <c r="D8" s="94" t="s">
        <v>254</v>
      </c>
      <c r="E8" s="90" t="s">
        <v>255</v>
      </c>
      <c r="F8" s="90" t="s">
        <v>256</v>
      </c>
      <c r="G8" s="1"/>
      <c r="H8" s="1"/>
      <c r="I8" s="1"/>
      <c r="J8" s="1"/>
      <c r="K8" s="1"/>
      <c r="L8" s="1"/>
      <c r="M8" s="1"/>
      <c r="N8" s="1"/>
      <c r="O8" s="1"/>
      <c r="P8" s="1"/>
      <c r="Q8" s="1"/>
      <c r="R8" s="1"/>
      <c r="S8" s="1"/>
      <c r="T8" s="1"/>
      <c r="U8" s="1"/>
      <c r="V8" s="1"/>
      <c r="W8" s="1"/>
      <c r="X8" s="1"/>
      <c r="Y8" s="1"/>
      <c r="Z8" s="1"/>
    </row>
    <row r="9" spans="1:26">
      <c r="A9" s="90" t="s">
        <v>257</v>
      </c>
      <c r="B9" s="90" t="s">
        <v>258</v>
      </c>
      <c r="C9" s="90" t="s">
        <v>242</v>
      </c>
      <c r="D9" s="94" t="s">
        <v>259</v>
      </c>
      <c r="E9" s="90" t="s">
        <v>260</v>
      </c>
      <c r="F9" s="90" t="s">
        <v>261</v>
      </c>
      <c r="G9" s="1"/>
      <c r="H9" s="1"/>
      <c r="I9" s="1"/>
      <c r="J9" s="1"/>
      <c r="K9" s="1"/>
      <c r="L9" s="1"/>
      <c r="M9" s="1"/>
      <c r="N9" s="1"/>
      <c r="O9" s="1"/>
      <c r="P9" s="1"/>
      <c r="Q9" s="1"/>
      <c r="R9" s="1"/>
      <c r="S9" s="1"/>
      <c r="T9" s="1"/>
      <c r="U9" s="1"/>
      <c r="V9" s="1"/>
      <c r="W9" s="1"/>
      <c r="X9" s="1"/>
      <c r="Y9" s="1"/>
      <c r="Z9" s="1"/>
    </row>
    <row r="10" spans="1:26" ht="25.5">
      <c r="A10" s="90" t="s">
        <v>262</v>
      </c>
      <c r="B10" s="90" t="s">
        <v>263</v>
      </c>
      <c r="C10" s="90" t="s">
        <v>106</v>
      </c>
      <c r="D10" s="94" t="s">
        <v>264</v>
      </c>
      <c r="E10" s="90" t="s">
        <v>265</v>
      </c>
      <c r="F10" s="90" t="s">
        <v>266</v>
      </c>
      <c r="G10" s="1"/>
      <c r="H10" s="1"/>
      <c r="I10" s="1"/>
      <c r="J10" s="1"/>
      <c r="K10" s="1"/>
      <c r="L10" s="1"/>
      <c r="M10" s="1"/>
      <c r="N10" s="1"/>
      <c r="O10" s="1"/>
      <c r="P10" s="1"/>
      <c r="Q10" s="1"/>
      <c r="R10" s="1"/>
      <c r="S10" s="1"/>
      <c r="T10" s="1"/>
      <c r="U10" s="1"/>
      <c r="V10" s="1"/>
      <c r="W10" s="1"/>
      <c r="X10" s="1"/>
      <c r="Y10" s="1"/>
      <c r="Z10" s="1"/>
    </row>
    <row r="11" spans="1:26">
      <c r="A11" s="90" t="s">
        <v>267</v>
      </c>
      <c r="B11" s="90" t="s">
        <v>268</v>
      </c>
      <c r="C11" s="90" t="s">
        <v>269</v>
      </c>
      <c r="D11" s="94" t="s">
        <v>270</v>
      </c>
      <c r="E11" s="90" t="s">
        <v>271</v>
      </c>
      <c r="F11" s="90" t="s">
        <v>272</v>
      </c>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2">
    <mergeCell ref="A1:F1"/>
    <mergeCell ref="A2:F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00"/>
  <sheetViews>
    <sheetView showGridLines="0" topLeftCell="A4" workbookViewId="0">
      <selection activeCell="E26" sqref="E26"/>
    </sheetView>
  </sheetViews>
  <sheetFormatPr baseColWidth="10" defaultColWidth="9" defaultRowHeight="14.25"/>
  <cols>
    <col min="1" max="1" width="26" customWidth="1"/>
    <col min="2" max="8" width="14" customWidth="1"/>
  </cols>
  <sheetData>
    <row r="1" spans="1:26" ht="23.25">
      <c r="A1" s="110" t="s">
        <v>273</v>
      </c>
      <c r="B1" s="110" t="s">
        <v>273</v>
      </c>
      <c r="C1" s="110" t="s">
        <v>273</v>
      </c>
      <c r="D1" s="110" t="s">
        <v>273</v>
      </c>
      <c r="E1" s="110" t="s">
        <v>273</v>
      </c>
      <c r="F1" s="110" t="s">
        <v>273</v>
      </c>
      <c r="G1" s="110" t="s">
        <v>273</v>
      </c>
      <c r="H1" s="110" t="s">
        <v>273</v>
      </c>
      <c r="I1" s="1"/>
      <c r="J1" s="1"/>
      <c r="K1" s="1"/>
      <c r="L1" s="1"/>
      <c r="M1" s="1"/>
      <c r="N1" s="1"/>
      <c r="O1" s="1"/>
      <c r="P1" s="1"/>
      <c r="Q1" s="1"/>
      <c r="R1" s="1"/>
      <c r="S1" s="1"/>
      <c r="T1" s="1"/>
      <c r="U1" s="1"/>
      <c r="V1" s="1"/>
      <c r="W1" s="1"/>
      <c r="X1" s="1"/>
      <c r="Y1" s="1"/>
      <c r="Z1" s="1"/>
    </row>
    <row r="2" spans="1:26">
      <c r="A2" s="111" t="s">
        <v>274</v>
      </c>
      <c r="B2" s="111" t="s">
        <v>274</v>
      </c>
      <c r="C2" s="111" t="s">
        <v>274</v>
      </c>
      <c r="D2" s="111" t="s">
        <v>274</v>
      </c>
      <c r="E2" s="111" t="s">
        <v>274</v>
      </c>
      <c r="F2" s="111" t="s">
        <v>274</v>
      </c>
      <c r="G2" s="111" t="s">
        <v>274</v>
      </c>
      <c r="H2" s="111" t="s">
        <v>274</v>
      </c>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15">
      <c r="A4" s="149" t="s">
        <v>275</v>
      </c>
      <c r="B4" s="149" t="s">
        <v>275</v>
      </c>
      <c r="C4" s="149" t="s">
        <v>275</v>
      </c>
      <c r="D4" s="149" t="s">
        <v>275</v>
      </c>
      <c r="E4" s="149" t="s">
        <v>275</v>
      </c>
      <c r="F4" s="149" t="s">
        <v>275</v>
      </c>
      <c r="G4" s="149" t="s">
        <v>275</v>
      </c>
      <c r="H4" s="149" t="s">
        <v>275</v>
      </c>
      <c r="I4" s="1"/>
      <c r="J4" s="1"/>
      <c r="K4" s="1"/>
      <c r="L4" s="1"/>
      <c r="M4" s="1"/>
      <c r="N4" s="1"/>
      <c r="O4" s="1"/>
      <c r="P4" s="1"/>
      <c r="Q4" s="1"/>
      <c r="R4" s="1"/>
      <c r="S4" s="1"/>
      <c r="T4" s="1"/>
      <c r="U4" s="1"/>
      <c r="V4" s="1"/>
      <c r="W4" s="1"/>
      <c r="X4" s="1"/>
      <c r="Y4" s="1"/>
      <c r="Z4" s="1"/>
    </row>
    <row r="5" spans="1:26">
      <c r="A5" s="160" t="s">
        <v>276</v>
      </c>
      <c r="B5" s="161"/>
      <c r="C5" s="161"/>
      <c r="D5" s="161"/>
      <c r="E5" s="161"/>
      <c r="F5" s="161"/>
      <c r="G5" s="161"/>
      <c r="H5" s="162"/>
      <c r="I5" s="1"/>
      <c r="J5" s="1"/>
      <c r="K5" s="1"/>
      <c r="L5" s="1"/>
      <c r="M5" s="1"/>
      <c r="N5" s="1"/>
      <c r="O5" s="1"/>
      <c r="P5" s="1"/>
      <c r="Q5" s="1"/>
      <c r="R5" s="1"/>
      <c r="S5" s="1"/>
      <c r="T5" s="1"/>
      <c r="U5" s="1"/>
      <c r="V5" s="1"/>
      <c r="W5" s="1"/>
      <c r="X5" s="1"/>
      <c r="Y5" s="1"/>
      <c r="Z5" s="1"/>
    </row>
    <row r="6" spans="1:26">
      <c r="A6" s="163" t="s">
        <v>277</v>
      </c>
      <c r="B6" s="164"/>
      <c r="C6" s="164"/>
      <c r="D6" s="164"/>
      <c r="E6" s="164"/>
      <c r="F6" s="164"/>
      <c r="G6" s="164"/>
      <c r="H6" s="165"/>
      <c r="I6" s="1"/>
      <c r="J6" s="1"/>
      <c r="K6" s="1"/>
      <c r="L6" s="1"/>
      <c r="M6" s="1"/>
      <c r="N6" s="1"/>
      <c r="O6" s="1"/>
      <c r="P6" s="1"/>
      <c r="Q6" s="1"/>
      <c r="R6" s="1"/>
      <c r="S6" s="1"/>
      <c r="T6" s="1"/>
      <c r="U6" s="1"/>
      <c r="V6" s="1"/>
      <c r="W6" s="1"/>
      <c r="X6" s="1"/>
      <c r="Y6" s="1"/>
      <c r="Z6" s="1"/>
    </row>
    <row r="7" spans="1:26">
      <c r="A7" s="163" t="s">
        <v>278</v>
      </c>
      <c r="B7" s="164"/>
      <c r="C7" s="164"/>
      <c r="D7" s="164"/>
      <c r="E7" s="164"/>
      <c r="F7" s="164"/>
      <c r="G7" s="164"/>
      <c r="H7" s="165"/>
      <c r="I7" s="1"/>
      <c r="J7" s="1"/>
      <c r="K7" s="1"/>
      <c r="L7" s="1"/>
      <c r="M7" s="1"/>
      <c r="N7" s="1"/>
      <c r="O7" s="1"/>
      <c r="P7" s="1"/>
      <c r="Q7" s="1"/>
      <c r="R7" s="1"/>
      <c r="S7" s="1"/>
      <c r="T7" s="1"/>
      <c r="U7" s="1"/>
      <c r="V7" s="1"/>
      <c r="W7" s="1"/>
      <c r="X7" s="1"/>
      <c r="Y7" s="1"/>
      <c r="Z7" s="1"/>
    </row>
    <row r="8" spans="1:26">
      <c r="A8" s="163" t="s">
        <v>279</v>
      </c>
      <c r="B8" s="164"/>
      <c r="C8" s="164"/>
      <c r="D8" s="164"/>
      <c r="E8" s="164"/>
      <c r="F8" s="164"/>
      <c r="G8" s="164"/>
      <c r="H8" s="165"/>
      <c r="I8" s="1"/>
      <c r="J8" s="1"/>
      <c r="K8" s="1"/>
      <c r="L8" s="1"/>
      <c r="M8" s="1"/>
      <c r="N8" s="1"/>
      <c r="O8" s="1"/>
      <c r="P8" s="1"/>
      <c r="Q8" s="1"/>
      <c r="R8" s="1"/>
      <c r="S8" s="1"/>
      <c r="T8" s="1"/>
      <c r="U8" s="1"/>
      <c r="V8" s="1"/>
      <c r="W8" s="1"/>
      <c r="X8" s="1"/>
      <c r="Y8" s="1"/>
      <c r="Z8" s="1"/>
    </row>
    <row r="9" spans="1:26">
      <c r="A9" s="166" t="s">
        <v>280</v>
      </c>
      <c r="B9" s="167"/>
      <c r="C9" s="167"/>
      <c r="D9" s="167"/>
      <c r="E9" s="167"/>
      <c r="F9" s="167"/>
      <c r="G9" s="167"/>
      <c r="H9" s="168"/>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
      <c r="A11" s="149" t="s">
        <v>281</v>
      </c>
      <c r="B11" s="149" t="s">
        <v>281</v>
      </c>
      <c r="C11" s="149" t="s">
        <v>281</v>
      </c>
      <c r="D11" s="149" t="s">
        <v>281</v>
      </c>
      <c r="E11" s="149" t="s">
        <v>281</v>
      </c>
      <c r="F11" s="149" t="s">
        <v>281</v>
      </c>
      <c r="G11" s="149" t="s">
        <v>281</v>
      </c>
      <c r="H11" s="149" t="s">
        <v>281</v>
      </c>
      <c r="I11" s="1"/>
      <c r="J11" s="1"/>
      <c r="K11" s="1"/>
      <c r="L11" s="1"/>
      <c r="M11" s="1"/>
      <c r="N11" s="1"/>
      <c r="O11" s="1"/>
      <c r="P11" s="1"/>
      <c r="Q11" s="1"/>
      <c r="R11" s="1"/>
      <c r="S11" s="1"/>
      <c r="T11" s="1"/>
      <c r="U11" s="1"/>
      <c r="V11" s="1"/>
      <c r="W11" s="1"/>
      <c r="X11" s="1"/>
      <c r="Y11" s="1"/>
      <c r="Z11" s="1"/>
    </row>
    <row r="12" spans="1:26">
      <c r="A12" s="169" t="s">
        <v>282</v>
      </c>
      <c r="B12" s="170"/>
      <c r="C12" s="170"/>
      <c r="D12" s="170"/>
      <c r="E12" s="170" t="s">
        <v>283</v>
      </c>
      <c r="F12" s="170"/>
      <c r="G12" s="170"/>
      <c r="H12" s="171"/>
      <c r="I12" s="1"/>
      <c r="J12" s="1"/>
      <c r="K12" s="1"/>
      <c r="L12" s="1"/>
      <c r="M12" s="1"/>
      <c r="N12" s="1"/>
      <c r="O12" s="1"/>
      <c r="P12" s="1"/>
      <c r="Q12" s="1"/>
      <c r="R12" s="1"/>
      <c r="S12" s="1"/>
      <c r="T12" s="1"/>
      <c r="U12" s="1"/>
      <c r="V12" s="1"/>
      <c r="W12" s="1"/>
      <c r="X12" s="1"/>
      <c r="Y12" s="1"/>
      <c r="Z12" s="1"/>
    </row>
    <row r="13" spans="1:26">
      <c r="A13" s="172" t="s">
        <v>284</v>
      </c>
      <c r="B13" s="173"/>
      <c r="C13" s="173"/>
      <c r="D13" s="173"/>
      <c r="E13" s="173" t="s">
        <v>285</v>
      </c>
      <c r="F13" s="173"/>
      <c r="G13" s="173"/>
      <c r="H13" s="178"/>
      <c r="I13" s="1"/>
      <c r="J13" s="1"/>
      <c r="K13" s="1"/>
      <c r="L13" s="1"/>
      <c r="M13" s="1"/>
      <c r="N13" s="1"/>
      <c r="O13" s="1"/>
      <c r="P13" s="1"/>
      <c r="Q13" s="1"/>
      <c r="R13" s="1"/>
      <c r="S13" s="1"/>
      <c r="T13" s="1"/>
      <c r="U13" s="1"/>
      <c r="V13" s="1"/>
      <c r="W13" s="1"/>
      <c r="X13" s="1"/>
      <c r="Y13" s="1"/>
      <c r="Z13" s="1"/>
    </row>
    <row r="14" spans="1:26">
      <c r="A14" s="174" t="s">
        <v>286</v>
      </c>
      <c r="B14" s="175"/>
      <c r="C14" s="175"/>
      <c r="D14" s="175"/>
      <c r="E14" s="175" t="s">
        <v>287</v>
      </c>
      <c r="F14" s="175"/>
      <c r="G14" s="175"/>
      <c r="H14" s="179"/>
      <c r="I14" s="1"/>
      <c r="J14" s="1"/>
      <c r="K14" s="1"/>
      <c r="L14" s="1"/>
      <c r="M14" s="1"/>
      <c r="N14" s="1"/>
      <c r="O14" s="1"/>
      <c r="P14" s="1"/>
      <c r="Q14" s="1"/>
      <c r="R14" s="1"/>
      <c r="S14" s="1"/>
      <c r="T14" s="1"/>
      <c r="U14" s="1"/>
      <c r="V14" s="1"/>
      <c r="W14" s="1"/>
      <c r="X14" s="1"/>
      <c r="Y14" s="1"/>
      <c r="Z14" s="1"/>
    </row>
    <row r="15" spans="1:26">
      <c r="A15" s="174" t="s">
        <v>288</v>
      </c>
      <c r="B15" s="175"/>
      <c r="C15" s="175"/>
      <c r="D15" s="175"/>
      <c r="E15" s="175" t="s">
        <v>289</v>
      </c>
      <c r="F15" s="175"/>
      <c r="G15" s="175"/>
      <c r="H15" s="179"/>
      <c r="I15" s="1"/>
      <c r="J15" s="1"/>
      <c r="K15" s="1"/>
      <c r="L15" s="1"/>
      <c r="M15" s="1"/>
      <c r="N15" s="1"/>
      <c r="O15" s="1"/>
      <c r="P15" s="1"/>
      <c r="Q15" s="1"/>
      <c r="R15" s="1"/>
      <c r="S15" s="1"/>
      <c r="T15" s="1"/>
      <c r="U15" s="1"/>
      <c r="V15" s="1"/>
      <c r="W15" s="1"/>
      <c r="X15" s="1"/>
      <c r="Y15" s="1"/>
      <c r="Z15" s="1"/>
    </row>
    <row r="16" spans="1:26">
      <c r="A16" s="174" t="s">
        <v>290</v>
      </c>
      <c r="B16" s="175"/>
      <c r="C16" s="175"/>
      <c r="D16" s="175"/>
      <c r="E16" s="175" t="s">
        <v>291</v>
      </c>
      <c r="F16" s="175"/>
      <c r="G16" s="175"/>
      <c r="H16" s="179"/>
      <c r="I16" s="1"/>
      <c r="J16" s="1"/>
      <c r="K16" s="1"/>
      <c r="L16" s="1"/>
      <c r="M16" s="1"/>
      <c r="N16" s="1"/>
      <c r="O16" s="1"/>
      <c r="P16" s="1"/>
      <c r="Q16" s="1"/>
      <c r="R16" s="1"/>
      <c r="S16" s="1"/>
      <c r="T16" s="1"/>
      <c r="U16" s="1"/>
      <c r="V16" s="1"/>
      <c r="W16" s="1"/>
      <c r="X16" s="1"/>
      <c r="Y16" s="1"/>
      <c r="Z16" s="1"/>
    </row>
    <row r="17" spans="1:26">
      <c r="A17" s="176" t="s">
        <v>292</v>
      </c>
      <c r="B17" s="177"/>
      <c r="C17" s="177"/>
      <c r="D17" s="177"/>
      <c r="E17" s="177" t="s">
        <v>293</v>
      </c>
      <c r="F17" s="177"/>
      <c r="G17" s="177"/>
      <c r="H17" s="180"/>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
      <c r="A19" s="149" t="s">
        <v>294</v>
      </c>
      <c r="B19" s="149" t="s">
        <v>294</v>
      </c>
      <c r="C19" s="149" t="s">
        <v>294</v>
      </c>
      <c r="D19" s="149" t="s">
        <v>294</v>
      </c>
      <c r="E19" s="149" t="s">
        <v>294</v>
      </c>
      <c r="F19" s="149" t="s">
        <v>294</v>
      </c>
      <c r="G19" s="149" t="s">
        <v>294</v>
      </c>
      <c r="H19" s="149" t="s">
        <v>294</v>
      </c>
      <c r="I19" s="1"/>
      <c r="J19" s="1"/>
      <c r="K19" s="1"/>
      <c r="L19" s="1"/>
      <c r="M19" s="1"/>
      <c r="N19" s="1"/>
      <c r="O19" s="1"/>
      <c r="P19" s="1"/>
      <c r="Q19" s="1"/>
      <c r="R19" s="1"/>
      <c r="S19" s="1"/>
      <c r="T19" s="1"/>
      <c r="U19" s="1"/>
      <c r="V19" s="1"/>
      <c r="W19" s="1"/>
      <c r="X19" s="1"/>
      <c r="Y19" s="1"/>
      <c r="Z19" s="1"/>
    </row>
    <row r="20" spans="1:26">
      <c r="A20" s="181" t="s">
        <v>296</v>
      </c>
      <c r="B20" s="181" t="s">
        <v>295</v>
      </c>
      <c r="C20" s="181" t="s">
        <v>295</v>
      </c>
      <c r="D20" s="181" t="s">
        <v>295</v>
      </c>
      <c r="E20" s="181" t="s">
        <v>295</v>
      </c>
      <c r="F20" s="181" t="s">
        <v>295</v>
      </c>
      <c r="G20" s="181" t="s">
        <v>295</v>
      </c>
      <c r="H20" s="181" t="s">
        <v>295</v>
      </c>
      <c r="I20" s="1"/>
      <c r="J20" s="1"/>
      <c r="K20" s="1"/>
      <c r="L20" s="1"/>
      <c r="M20" s="1"/>
      <c r="N20" s="1"/>
      <c r="O20" s="1"/>
      <c r="P20" s="1"/>
      <c r="Q20" s="1"/>
      <c r="R20" s="1"/>
      <c r="S20" s="1"/>
      <c r="T20" s="1"/>
      <c r="U20" s="1"/>
      <c r="V20" s="1"/>
      <c r="W20" s="1"/>
      <c r="X20" s="1"/>
      <c r="Y20" s="1"/>
      <c r="Z20" s="1"/>
    </row>
    <row r="21" spans="1:26">
      <c r="A21" s="181" t="s">
        <v>295</v>
      </c>
      <c r="B21" s="181" t="s">
        <v>295</v>
      </c>
      <c r="C21" s="181" t="s">
        <v>295</v>
      </c>
      <c r="D21" s="181" t="s">
        <v>295</v>
      </c>
      <c r="E21" s="181" t="s">
        <v>295</v>
      </c>
      <c r="F21" s="181" t="s">
        <v>295</v>
      </c>
      <c r="G21" s="181" t="s">
        <v>295</v>
      </c>
      <c r="H21" s="181" t="s">
        <v>295</v>
      </c>
      <c r="I21" s="1"/>
      <c r="J21" s="1"/>
      <c r="K21" s="1"/>
      <c r="L21" s="1"/>
      <c r="M21" s="1"/>
      <c r="N21" s="1"/>
      <c r="O21" s="1"/>
      <c r="P21" s="1"/>
      <c r="Q21" s="1"/>
      <c r="R21" s="1"/>
      <c r="S21" s="1"/>
      <c r="T21" s="1"/>
      <c r="U21" s="1"/>
      <c r="V21" s="1"/>
      <c r="W21" s="1"/>
      <c r="X21" s="1"/>
      <c r="Y21" s="1"/>
      <c r="Z21" s="1"/>
    </row>
    <row r="22" spans="1:26">
      <c r="A22" s="181" t="s">
        <v>295</v>
      </c>
      <c r="B22" s="181" t="s">
        <v>295</v>
      </c>
      <c r="C22" s="181" t="s">
        <v>295</v>
      </c>
      <c r="D22" s="181" t="s">
        <v>295</v>
      </c>
      <c r="E22" s="181" t="s">
        <v>295</v>
      </c>
      <c r="F22" s="181" t="s">
        <v>295</v>
      </c>
      <c r="G22" s="181" t="s">
        <v>295</v>
      </c>
      <c r="H22" s="181" t="s">
        <v>295</v>
      </c>
      <c r="I22" s="1"/>
      <c r="J22" s="1"/>
      <c r="K22" s="1"/>
      <c r="L22" s="1"/>
      <c r="M22" s="1"/>
      <c r="N22" s="1"/>
      <c r="O22" s="1"/>
      <c r="P22" s="1"/>
      <c r="Q22" s="1"/>
      <c r="R22" s="1"/>
      <c r="S22" s="1"/>
      <c r="T22" s="1"/>
      <c r="U22" s="1"/>
      <c r="V22" s="1"/>
      <c r="W22" s="1"/>
      <c r="X22" s="1"/>
      <c r="Y22" s="1"/>
      <c r="Z22" s="1"/>
    </row>
    <row r="23" spans="1:26">
      <c r="A23" s="181" t="s">
        <v>295</v>
      </c>
      <c r="B23" s="181" t="s">
        <v>295</v>
      </c>
      <c r="C23" s="181" t="s">
        <v>295</v>
      </c>
      <c r="D23" s="181" t="s">
        <v>295</v>
      </c>
      <c r="E23" s="181" t="s">
        <v>295</v>
      </c>
      <c r="F23" s="181" t="s">
        <v>295</v>
      </c>
      <c r="G23" s="181" t="s">
        <v>295</v>
      </c>
      <c r="H23" s="181" t="s">
        <v>295</v>
      </c>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23">
    <mergeCell ref="A19:H19"/>
    <mergeCell ref="A20:H23"/>
    <mergeCell ref="E13:H13"/>
    <mergeCell ref="E14:H14"/>
    <mergeCell ref="E15:H15"/>
    <mergeCell ref="E16:H16"/>
    <mergeCell ref="E17:H17"/>
    <mergeCell ref="A13:D13"/>
    <mergeCell ref="A14:D14"/>
    <mergeCell ref="A15:D15"/>
    <mergeCell ref="A16:D16"/>
    <mergeCell ref="A17:D17"/>
    <mergeCell ref="A7:H7"/>
    <mergeCell ref="A8:H8"/>
    <mergeCell ref="A9:H9"/>
    <mergeCell ref="A11:H11"/>
    <mergeCell ref="A12:D12"/>
    <mergeCell ref="E12:H12"/>
    <mergeCell ref="A1:H1"/>
    <mergeCell ref="A2:H2"/>
    <mergeCell ref="A4:H4"/>
    <mergeCell ref="A5:H5"/>
    <mergeCell ref="A6: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Dashboard</vt:lpstr>
      <vt:lpstr>Portefeuille</vt:lpstr>
      <vt:lpstr>Cashflows</vt:lpstr>
      <vt:lpstr>Courbe Scenarios</vt:lpstr>
      <vt:lpstr>Stress Tests</vt:lpstr>
      <vt:lpstr>Couverture</vt:lpstr>
      <vt:lpstr>Collateral</vt:lpstr>
      <vt:lpstr>Reconciliation</vt:lpstr>
      <vt:lpstr>Checks</vt:lpstr>
      <vt:lpstr>Sources</vt:lpstr>
      <vt:lpstr>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2026-08-11T21:48:20Z</dcterms:created>
  <dcterms:modified xsi:type="dcterms:W3CDTF">2026-08-11T22:40:57Z</dcterms:modified>
</cp:coreProperties>
</file>